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2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drawings/drawing3.xml" ContentType="application/vnd.openxmlformats-officedocument.drawing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suadigital-my.sharepoint.com/personal/duc_trananh_sisuadigital_com/Documents/_my_folder/_Offshoring CL/_ISA/a006/a006_antigratvity_assistant/a006_description/materials/app/"/>
    </mc:Choice>
  </mc:AlternateContent>
  <xr:revisionPtr revIDLastSave="54" documentId="8_{C10311E5-8A5E-4071-AC91-7D82E2C16E3A}" xr6:coauthVersionLast="47" xr6:coauthVersionMax="47" xr10:uidLastSave="{0B74F234-A579-4405-B175-128135077464}"/>
  <bookViews>
    <workbookView xWindow="-120" yWindow="-120" windowWidth="29040" windowHeight="15720" firstSheet="3" activeTab="3" xr2:uid="{00000000-000D-0000-FFFF-FFFF00000000}"/>
  </bookViews>
  <sheets>
    <sheet name="Bienes" sheetId="1" state="hidden" r:id="rId1"/>
    <sheet name="Servicios" sheetId="2" state="hidden" r:id="rId2"/>
    <sheet name="Hoja2" sheetId="6" state="hidden" r:id="rId3"/>
    <sheet name="Bienes&amp;Servicios" sheetId="3" r:id="rId4"/>
    <sheet name="Hoja1" sheetId="5" state="hidden" r:id="rId5"/>
    <sheet name="Datos" sheetId="4" state="hidden" r:id="rId6"/>
  </sheets>
  <definedNames>
    <definedName name="_xlnm._FilterDatabase" localSheetId="2" hidden="1">Hoja2!$A$1:$F$130</definedName>
    <definedName name="Aplicaciones_Prevención_de_Heladas">Hoja1!$AT$2:$AT$3</definedName>
    <definedName name="Arriendos_Vehículos_Explotación">Hoja1!$S$2</definedName>
    <definedName name="Asesores_Legales">Hoja1!$AV$2</definedName>
    <definedName name="Asesoría_Contable">Hoja1!$AX$2</definedName>
    <definedName name="Asocianismo">Hoja1!$BW$3</definedName>
    <definedName name="Auditorias_y_Asesoría_Tributaria">Hoja1!$AW$2</definedName>
    <definedName name="Bacheos_Rutinarios_y_Otras_Actividades_Puntuales">Hoja1!$AL$2:$AL$6</definedName>
    <definedName name="Cafetería_Dispensador_de_Alimentos">Hoja1!$CF$3</definedName>
    <definedName name="Capacitación_y_Formación_del_Personal">Hoja1!$C$2:$C$3</definedName>
    <definedName name="Categorías">Hoja1!$C$2:$CF$2</definedName>
    <definedName name="Combustibles_y_Lubricantes_Vehículos_Explotación">Hoja1!$BK$3:$BK$4</definedName>
    <definedName name="Comunicaciones_Equipos_de_Radio">Hoja1!$BI$3</definedName>
    <definedName name="Comunicaciones_y_Enlace_de_Datos">Hoja1!$M$2:$M$4</definedName>
    <definedName name="Construcción_de_Elementos_de_Drenaje_Subsuperficial">Hoja1!$AE$2:$AE$5</definedName>
    <definedName name="Construcción_y_Mantenimiento_Elementos_de_Contención_Taludes">Hoja1!$AF$2:$AF$4</definedName>
    <definedName name="Control_de_Calidad">Hoja1!$CD$3</definedName>
    <definedName name="Correo">Hoja1!$N$2</definedName>
    <definedName name="Electricidad_e_Iluminación">Hoja1!$BH$3</definedName>
    <definedName name="Encuestas">Hoja1!$BA$2</definedName>
    <definedName name="Estacionamientos">Hoja1!$CA$3</definedName>
    <definedName name="Estudios_e_Inspecciones_Mayores_CyM">Hoja1!$BE$3</definedName>
    <definedName name="Estudios_e_Inspecciones_TC_CyM">Hoja1!$BD$3</definedName>
    <definedName name="Fotocopias">Hoja1!$K$2</definedName>
    <definedName name="Gastos_Comunes">Hoja1!$CE$3</definedName>
    <definedName name="Gastos_de_Viaje_Hoteles">Hoja1!$G$2</definedName>
    <definedName name="Gastos_de_Viaje_Otros">Hoja1!$H$2</definedName>
    <definedName name="Gastos_de_Viaje_Pasajes">Hoja1!$F$2</definedName>
    <definedName name="Gastos_Facturación_Medio_Pago_Electrónico">Hoja1!$BX$3</definedName>
    <definedName name="Gastos_Por_Eventos_Deportivos_y_Recreación">Hoja1!$E$2</definedName>
    <definedName name="Gestión_del_Tránsito_y_Apoyo_Accidentes">Hoja1!$AU$2:$AU$4</definedName>
    <definedName name="Honorarios">Hoja1!$CC$3</definedName>
    <definedName name="Impresión_Boletos">Hoja1!$I$2</definedName>
    <definedName name="Inst_Defensas_y_Otros_DC">Hoja1!$AJ$2:$AJ$6</definedName>
    <definedName name="Insumos_Licencias_e_Implementos_de_Computación_y_Software">Hoja1!$Y$2:$Y$4</definedName>
    <definedName name="Lista">'Bienes&amp;Servicios'!$I$12</definedName>
    <definedName name="Lista_Cat">Hoja1!$A$2:$A$53</definedName>
    <definedName name="Listado">Hoja1!$A$1:$A$53</definedName>
    <definedName name="M_R_MyR_de_Equipos_de_Emergenciade_Equipos_de_Emergencia">Hoja1!$BZ$3</definedName>
    <definedName name="Mantención_e_Insumos_de_Sistemas_de_CCTV">Hoja1!$W$2</definedName>
    <definedName name="Mantención_e_Insumos_Equipos_Túnel_y_Equipos_de_Emergencia">Hoja1!$X$2:$X$13</definedName>
    <definedName name="Mantención_e_Insumos_Postes_SOS_y_PMV">Hoja1!$V$2:$V$6</definedName>
    <definedName name="Mantención_e_Insumos_Sistema_de_Peajes">Hoja1!$T$2:$T$14</definedName>
    <definedName name="Mantención_Vehículos_Explotación">Hoja1!$Z$2</definedName>
    <definedName name="Mantención_y_Reparación_de_Instalaciones_ASG_Peajes_Paraderos">Hoja1!$U$2:$U$5</definedName>
    <definedName name="Mantención_y_Reparación_de_Luminarias">Hoja1!$AO$2:$AO$4</definedName>
    <definedName name="Mantención_y_Reparación_Pantallas_Acústicas">Hoja1!$AN$2:$AN$4</definedName>
    <definedName name="Mantención_y_Reposición_de_Señalización_Horizontal_y_Vertical">Hoja1!$AH$2:$AH$21</definedName>
    <definedName name="Mantenimiento_Calles_de_Servicio_Granulares">Hoja1!$AC$2:$AC$6</definedName>
    <definedName name="Mantenimiento_Mayor_En_Estructuras_y_Cauces">Hoja1!$AD$2:$AD$22</definedName>
    <definedName name="Mantenimiento_Pavimentos_de_Hormigón">Hoja1!$AB$2:$AB$7</definedName>
    <definedName name="Mantenimiento_Pavimentos_y_Bermas_de_Asfalto">Hoja1!$AA$2:$AA$37</definedName>
    <definedName name="MT2_Mantención_de_Pantallas_Acústicas" comment="N°38_Mantención_y_Reparación_Pantallas_Acústicas">Hoja1!$AN$2:$AN$4</definedName>
    <definedName name="N°1_Capacitación_y_Formación_del_Personal">Hoja1!$C$2:$C$3</definedName>
    <definedName name="N°10_Útiles_de_Oficina">Hoja1!$L$2</definedName>
    <definedName name="N°11_Comunicaciones_y_Enlace_de_Datos">Hoja1!$M$2:$M$4</definedName>
    <definedName name="N°12_Correo">Hoja1!$N$2</definedName>
    <definedName name="N°13_Servicio_Transporte_de_Dinero">Hoja1!$O$2</definedName>
    <definedName name="N°14_Servicio_Legal_Notaría">Hoja1!$P$2</definedName>
    <definedName name="N°15_Servicio_de_Pesaje">Hoja1!$Q$2</definedName>
    <definedName name="N°16_Responsabilidad_Social_Empresarial_RSE">Hoja1!$R$2</definedName>
    <definedName name="N°17_Arriendos_Vehículos_Explotación">Hoja1!$S$2</definedName>
    <definedName name="N°18_Mantención_e_Insumos_Sistema_de_Peajes">Hoja1!$T$2:$T$14</definedName>
    <definedName name="N°19_Mantención_y_Reparación_de_Instalaciones_ASG_Peajes_Paraderos">Hoja1!$U$2:$U$5</definedName>
    <definedName name="N°2_Suministro_Trabajadores_Vestuario_Personal">Hoja1!$D$2</definedName>
    <definedName name="N°20_Mantención_e_Insumos_Postes_SOS_y_PMV">Hoja1!$V$2:$V$6</definedName>
    <definedName name="N°21_Mantención_e_Insumos_de_Sistemas_de_CCTV">Hoja1!$W$2</definedName>
    <definedName name="N°22_Mantención_e_Insumos_Equipos_Túnel_y_Equipos_de_Emergencia">Hoja1!$X$2:$X$13</definedName>
    <definedName name="N°23_Insumos_Licencias_e_Implementos_de_Computación_y_Software">Hoja1!$Y$2:$Y$4</definedName>
    <definedName name="N°24_Mantención_Vehículos_Explotación">Hoja1!$Z$2</definedName>
    <definedName name="N°25_Mantenimiento_Pavimentos_y_Bermas_de_Asfalto">Hoja1!$AA$2:$AA$37</definedName>
    <definedName name="N°26_Mantenimiento_Pavimentos_de_Hormigón">Hoja1!$AB$2:$AB$7</definedName>
    <definedName name="N°27_Mantenimiento_Calles_de_Servicio_Granulares">Hoja1!$AC$2:$AC$6</definedName>
    <definedName name="N°28_Mantenimiento_Mayor_en_Estructuras_y_Cauces">Hoja1!$AD$2:$AD$22</definedName>
    <definedName name="N°29_Construcción_de_Elementos_de_Drenaje_Subsuperficial">Hoja1!$AE$2:$AE$5</definedName>
    <definedName name="N°3_Gastos_Por_Eventos_Deportivos_y_Recreación">Hoja1!$E$2</definedName>
    <definedName name="N°30_Construcción_y_Mantenimiento_Elementos_de_Contención_Taludes">Hoja1!$AF$2:$AF$4</definedName>
    <definedName name="N°31_Sellos_de_Juntas_y_Grietas_de_Pavimentos">Hoja1!$AG$2:$AG$5</definedName>
    <definedName name="N°32_Mantención_y_Reposición_de_Señalización_Horizontal_y_Vertical">Hoja1!$AH$2:$AH$21</definedName>
    <definedName name="N°33_Suministro_Defensas_Camineras">Hoja1!$AI$2:$AI$3</definedName>
    <definedName name="N°34_Inst_Defensas_y_Otros_DC">Hoja1!$AJ$2:$AJ$6</definedName>
    <definedName name="N°35_Paisajismo_Mantenimiento_Faja_y_Mantención_de_Elementos_de_Drenaje_Superficial">Hoja1!$AK$2:$AK$35</definedName>
    <definedName name="N°36_Bacheos_Rutinarios_y_Otras_Actividades_Puntuales">Hoja1!$AL$2:$AL$6</definedName>
    <definedName name="N°37_Otros_Mantenimientos_Señalización_Vertical">Hoja1!$AM$2:$AM$5</definedName>
    <definedName name="N°39_Mantención_y_Reparación_de_Luminarias">Hoja1!$AO$2:$AO$4</definedName>
    <definedName name="N°4_Gastos_de_Viaje_Pasajes">Hoja1!$F$2</definedName>
    <definedName name="N°40_Suministro_de_Mat_Cercos_y_Mallas">Hoja1!$AP$2:$AP$5</definedName>
    <definedName name="N°41_Reparación_e_Instalación_Cercos_y_Mallas">Hoja1!$AQ$2:$AQ$3</definedName>
    <definedName name="N°42_Reparación_e_Instalación_New_Jersey">Hoja1!$AR$2:$AR$3</definedName>
    <definedName name="N°43_Mantención_y_Reparación_Taludes">Hoja1!$AS$2:$AS$4</definedName>
    <definedName name="N°44_Aplicaciones_Prevención_de_Heladas">Hoja1!$AT$2:$AT$3</definedName>
    <definedName name="N°45_Gestión_del_Tránsito_y_Apoyo_Accidentes">Hoja1!$AU$2:$AU$4</definedName>
    <definedName name="N°46_Asesores_Legales">Hoja1!$AV$2</definedName>
    <definedName name="N°47_Auditorias_y_Asesoría_Tributaria">Hoja1!$AW$2</definedName>
    <definedName name="N°48_Asesoría_Contable">Hoja1!$AX$2</definedName>
    <definedName name="N°49_Servicio_Conteo_de_Tráfico">Hoja1!$AY$2</definedName>
    <definedName name="N°5_Gastos_de_Viaje_Hoteles">Hoja1!$G$2</definedName>
    <definedName name="N°50_Otros_Servicios_Profesionales">Hoja1!$AZ$2</definedName>
    <definedName name="N°51_Encuestas">Hoja1!$BA$2</definedName>
    <definedName name="N°52_Proyectos_y_Estudios_de_Gestión_Medioambiental">Hoja1!$BB$2</definedName>
    <definedName name="N°53_Servicio_Cobro_Medios_de_Pago_Electrónicos">Hoja1!$BC$3:$BC$4</definedName>
    <definedName name="N°54_Estudios_e_Inspecciones_TC_CyM">Hoja1!$BD$3</definedName>
    <definedName name="N°55_Estudios_e_Inspecciones_Mayores_CyM">Hoja1!$BE$3</definedName>
    <definedName name="N°56_Agua_y_Gas">Hoja1!$BF$3</definedName>
    <definedName name="N°57_Suministros_de_Aseo">Hoja1!$BG$3</definedName>
    <definedName name="N°58_Electricidad_e_Iluminación">Hoja1!$BH$3</definedName>
    <definedName name="N°59_Comunicaciones_Equipos_de_Radio">Hoja1!$BI$3</definedName>
    <definedName name="N°6_Gastos_de_Viaje_Otros">Hoja1!$H$2</definedName>
    <definedName name="N°60_Telefonía">Hoja1!$BJ$3:$BJ$5</definedName>
    <definedName name="N°61_Combustibles_y_Lubricantes_Vehículos_Explotación">Hoja1!$BK$3:$BK$4</definedName>
    <definedName name="N°62_Seguros">Hoja1!$BL$3:$BL$7</definedName>
    <definedName name="N°63_Permisos_Circulación_Vehículos_Explotación">Hoja1!$BM$3</definedName>
    <definedName name="N°64_Servicios_Vigilancia_Guardias">Hoja1!$BN$3</definedName>
    <definedName name="N°65_SubContrato_Servicios_de_Aseo">Hoja1!$BO$3</definedName>
    <definedName name="N°66_Servicios_de_Peajistas">Hoja1!$BP$3</definedName>
    <definedName name="N°67_Servicio_Chofer_Paramédicos_Patrullas_Grúas_Motos">Hoja1!$BQ$3</definedName>
    <definedName name="N°68_Servicio_Integral_Ambulancia">Hoja1!$BR$3</definedName>
    <definedName name="N°69_Servicio_Integral_Patrullas">Hoja1!$BS$3</definedName>
    <definedName name="N°7_Impresión_Boletos">Hoja1!$I$2</definedName>
    <definedName name="N°70_Servicio_Integral_Grúas">Hoja1!$BT$3</definedName>
    <definedName name="N°71_Otros_Servicios_de_Terceros">Hoja1!$BU$3</definedName>
    <definedName name="N°72_Unidades_de_Comercialización_a_Cliente">Hoja1!$BV$3</definedName>
    <definedName name="N°73_Asocianismo">Hoja1!$BW$3</definedName>
    <definedName name="N°74_Gastos_Facturación_Medio_Pago_Electrónico">Hoja1!$BX$3</definedName>
    <definedName name="N°75_Seguridad_TI">Hoja1!$BY$3</definedName>
    <definedName name="N°76_MyR_de_Equipos_de_Emergencia">Hoja1!$BZ$3</definedName>
    <definedName name="N°77_Estacionamientos">Hoja1!$CA$3</definedName>
    <definedName name="N°78_Otros_Arriendos">Hoja1!$CB$3:$CB$4</definedName>
    <definedName name="N°79_Honorarios">Hoja1!$CC$3</definedName>
    <definedName name="N°8_Publicación_comunicación_e_Imagen">Hoja1!$J$2:$J$4</definedName>
    <definedName name="N°80_Control_de_Calidad">Hoja1!$CD$3</definedName>
    <definedName name="N°81_Gastos_Comunes">Hoja1!$CE$3</definedName>
    <definedName name="N°82_Cafetería_Dispensador_de_Alimentos">Hoja1!$CF$3</definedName>
    <definedName name="N°9_Fotocopias">Hoja1!$K$2</definedName>
    <definedName name="Otros_Arriendos">Hoja1!$CB$3:$CB$4</definedName>
    <definedName name="Otros_Mantenimientos_Señalización_Vertical">Hoja1!$AM$2:$AM$5</definedName>
    <definedName name="Otros_Servicios_de_Terceros">Hoja1!$BU$3</definedName>
    <definedName name="Otros_Servicios_Profesionales">Hoja1!$AZ$2</definedName>
    <definedName name="_xlnm.Print_Area" localSheetId="3">'Bienes&amp;Servicios'!$A$1:$J$66</definedName>
    <definedName name="_xlnm.Print_Area" localSheetId="1">Servicios!$A$1:$I$59</definedName>
    <definedName name="Proyectos_y_Estudios_de_Gestión_Medioambiental">Hoja1!$BB$2</definedName>
    <definedName name="Prueba">Hoja1!#REF!</definedName>
    <definedName name="Publicación_comunicación_e_Imagen">Hoja1!$J$2:$J$4</definedName>
    <definedName name="Reparación_e_Instalación_Cercos_y_Mallas">Hoja1!$AQ$2:$AQ$3</definedName>
    <definedName name="Reparación_e_Instalación_New_Jersey">Hoja1!$AR$2:$AR$3</definedName>
    <definedName name="Responsabilidad_Social_Empresarial_RSE">Hoja1!$R$2</definedName>
    <definedName name="Seguridad_TI">Hoja1!$BY$3</definedName>
    <definedName name="Seguros">Hoja1!$BL$3:$BL$7</definedName>
    <definedName name="Sellos_de_Juntas_y_Grietas_de_Pavimentos">Hoja1!$AG$2:$AG$5</definedName>
    <definedName name="Servicio_Chofer_Paramédicos_Patrullas_Grúas_Motos">Hoja1!$BQ$3</definedName>
    <definedName name="Servicio_Cobro_Medios_de_Pago_Electrónicos">Hoja1!$BC$3:$BC$4</definedName>
    <definedName name="Servicio_Conteo_de_Tráfico">Hoja1!$AY$2</definedName>
    <definedName name="Servicio_de_Pesaje">Hoja1!$Q$2</definedName>
    <definedName name="Servicio_Integral_Ambulancia">Hoja1!$BR$3</definedName>
    <definedName name="Servicio_Integral_Grúas">Hoja1!$BT$3</definedName>
    <definedName name="Servicio_Integral_Patrullas">Hoja1!$BS$3</definedName>
    <definedName name="Servicio_Legal_Notaría">Hoja1!$P$2</definedName>
    <definedName name="Servicio_Transporte_de_Dinero">Hoja1!$O$2</definedName>
    <definedName name="Servicios_Vigilancia_Guardias">Hoja1!$BN$3</definedName>
    <definedName name="Sub_Cat">Hoja1!#REF!</definedName>
    <definedName name="SubCategorías">Hoja1!$C$3:$CF$34</definedName>
    <definedName name="SubContrato_Servicios_de_Aseo">Hoja1!$BO$3</definedName>
    <definedName name="Suministro_de_Mat_Cercos_y_Mallas">Hoja1!$AP$2:$AP$5</definedName>
    <definedName name="Suministro_Defensas_Camineras">Hoja1!$AI$2:$AI$3</definedName>
    <definedName name="Suministro_Trabajadores_Vestuario_Personal">Hoja1!$D$2</definedName>
    <definedName name="Telefonía">Hoja1!$BJ$3:$BJ$5</definedName>
    <definedName name="Unidades_de_Comercialización_a_Cliente">Hoja1!$BV$3</definedName>
    <definedName name="Útiles_de_Oficina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2" i="6"/>
  <c r="L12" i="3"/>
  <c r="F130" i="6" l="1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C40" i="1" l="1"/>
  <c r="G54" i="4"/>
  <c r="I28" i="1" s="1"/>
  <c r="D54" i="4"/>
  <c r="E54" i="4" s="1"/>
  <c r="D53" i="4"/>
  <c r="G53" i="4" s="1"/>
  <c r="I26" i="1" s="1"/>
  <c r="D51" i="4"/>
  <c r="G51" i="4" s="1"/>
  <c r="I20" i="1" s="1"/>
  <c r="D50" i="4"/>
  <c r="G50" i="4" s="1"/>
  <c r="I17" i="1" s="1"/>
  <c r="D52" i="4"/>
  <c r="G52" i="4" s="1"/>
  <c r="I23" i="1" s="1"/>
  <c r="C47" i="2"/>
  <c r="D29" i="4" s="1"/>
  <c r="E29" i="4" s="1"/>
  <c r="C48" i="2"/>
  <c r="D30" i="4" s="1"/>
  <c r="C49" i="2"/>
  <c r="D32" i="4" s="1"/>
  <c r="C46" i="2"/>
  <c r="D34" i="4" s="1"/>
  <c r="E34" i="4" s="1"/>
  <c r="C52" i="2"/>
  <c r="G36" i="4"/>
  <c r="E52" i="4" l="1"/>
  <c r="E51" i="4"/>
  <c r="E50" i="4"/>
  <c r="D60" i="4"/>
  <c r="D37" i="1" s="1"/>
  <c r="D59" i="4"/>
  <c r="D36" i="1" s="1"/>
  <c r="D58" i="4"/>
  <c r="D35" i="1" s="1"/>
  <c r="D28" i="4"/>
  <c r="E28" i="4" s="1"/>
  <c r="G28" i="4" s="1"/>
  <c r="I22" i="2" s="1"/>
  <c r="D27" i="4"/>
  <c r="E27" i="4" s="1"/>
  <c r="G27" i="4" s="1"/>
  <c r="I19" i="2" s="1"/>
  <c r="E30" i="4"/>
  <c r="G30" i="4" s="1"/>
  <c r="G29" i="4"/>
  <c r="I25" i="2" s="1"/>
  <c r="E32" i="4"/>
  <c r="G32" i="4"/>
  <c r="I34" i="2" s="1"/>
  <c r="G34" i="4"/>
  <c r="I39" i="2" s="1"/>
  <c r="D31" i="4"/>
  <c r="D33" i="4"/>
  <c r="G33" i="4" s="1"/>
  <c r="I37" i="2" s="1"/>
  <c r="C59" i="3"/>
  <c r="C56" i="3"/>
  <c r="D38" i="1" l="1"/>
  <c r="D41" i="1" s="1"/>
  <c r="D10" i="4"/>
  <c r="D9" i="4"/>
  <c r="E9" i="4" s="1"/>
  <c r="G9" i="4" s="1"/>
  <c r="J38" i="3" s="1"/>
  <c r="E43" i="4"/>
  <c r="D48" i="2" s="1"/>
  <c r="I28" i="2"/>
  <c r="E42" i="4"/>
  <c r="D47" i="2" s="1"/>
  <c r="E41" i="4"/>
  <c r="D46" i="2" s="1"/>
  <c r="E31" i="4"/>
  <c r="G31" i="4" s="1"/>
  <c r="E44" i="4" l="1"/>
  <c r="D49" i="2" s="1"/>
  <c r="D50" i="2" s="1"/>
  <c r="D53" i="2" s="1"/>
  <c r="I31" i="2"/>
  <c r="E10" i="4"/>
  <c r="G10" i="4"/>
  <c r="G14" i="4" l="1"/>
  <c r="J41" i="3"/>
  <c r="E22" i="4"/>
  <c r="D56" i="3" s="1"/>
  <c r="C55" i="3" l="1"/>
  <c r="D8" i="4" s="1"/>
  <c r="G8" i="4" s="1"/>
  <c r="C54" i="3"/>
  <c r="D4" i="4" s="1"/>
  <c r="D5" i="4"/>
  <c r="G5" i="4" s="1"/>
  <c r="J26" i="3" s="1"/>
  <c r="E21" i="4" l="1"/>
  <c r="D55" i="3" s="1"/>
  <c r="J35" i="3"/>
  <c r="E4" i="4"/>
  <c r="G4" i="4"/>
  <c r="J23" i="3" s="1"/>
  <c r="E8" i="4"/>
  <c r="E5" i="4"/>
  <c r="D6" i="4"/>
  <c r="D3" i="4"/>
  <c r="D7" i="4"/>
  <c r="E3" i="4" l="1"/>
  <c r="G3" i="4"/>
  <c r="E6" i="4"/>
  <c r="G6" i="4"/>
  <c r="J29" i="3" s="1"/>
  <c r="E7" i="4"/>
  <c r="G7" i="4"/>
  <c r="J32" i="3" s="1"/>
  <c r="J20" i="3" l="1"/>
  <c r="E20" i="4"/>
  <c r="D54" i="3" s="1"/>
  <c r="D21" i="4"/>
  <c r="D41" i="4"/>
  <c r="D42" i="4"/>
  <c r="D19" i="4"/>
  <c r="D43" i="4"/>
  <c r="D20" i="4"/>
  <c r="C53" i="3"/>
  <c r="C57" i="3" s="1"/>
  <c r="D12" i="4" l="1"/>
  <c r="D11" i="4"/>
  <c r="G11" i="4" s="1"/>
  <c r="J44" i="3" l="1"/>
  <c r="E12" i="4"/>
  <c r="G12" i="4"/>
  <c r="J46" i="3" s="1"/>
  <c r="E19" i="4" l="1"/>
  <c r="D53" i="3" s="1"/>
  <c r="D57" i="3" l="1"/>
  <c r="D6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DABG</author>
  </authors>
  <commentList>
    <comment ref="C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MODIFICAR SÓLO LAS CELDAS EN AMARILLO.
TENGA EN CUENTA QUE LA SUMATORIA DE LOS PUNTOS SEA IGUAL A 100</t>
        </r>
      </text>
    </comment>
  </commentList>
</comments>
</file>

<file path=xl/sharedStrings.xml><?xml version="1.0" encoding="utf-8"?>
<sst xmlns="http://schemas.openxmlformats.org/spreadsheetml/2006/main" count="1179" uniqueCount="676">
  <si>
    <r>
      <rPr>
        <b/>
        <sz val="14"/>
        <rFont val="Arial"/>
        <family val="2"/>
      </rPr>
      <t>EVALUACIÓN DEL DESEMPEÑO DE CONTRATISTAS</t>
    </r>
    <r>
      <rPr>
        <b/>
        <sz val="10"/>
        <rFont val="Arial"/>
        <family val="2"/>
      </rPr>
      <t xml:space="preserve">
Contrato de Suministro de Bienes</t>
    </r>
  </si>
  <si>
    <t>NOMBRE DEL CONTRATISTA</t>
  </si>
  <si>
    <t>NIT</t>
  </si>
  <si>
    <t>NOMBRE DEL CONTACTO</t>
  </si>
  <si>
    <t>EMAIL</t>
  </si>
  <si>
    <t>1. ETAPA DE EVALUACIÓN</t>
  </si>
  <si>
    <t>2. FECHA DE EVALUACIÓN</t>
  </si>
  <si>
    <t>CONTRACTUAL</t>
  </si>
  <si>
    <t>FIN DEL CONTRATO</t>
  </si>
  <si>
    <t>POST CONTRACTUAL</t>
  </si>
  <si>
    <t>3. INFORMACIÓN DEL CONTRATO</t>
  </si>
  <si>
    <t>NUMERO SAP</t>
  </si>
  <si>
    <t>FECHA INICIO</t>
  </si>
  <si>
    <t>FECHA FINAL</t>
  </si>
  <si>
    <t>VALOR COP</t>
  </si>
  <si>
    <t>VALOR USD</t>
  </si>
  <si>
    <t>VALOR EUR</t>
  </si>
  <si>
    <t>OBJETO</t>
  </si>
  <si>
    <t>4. EVALUACIÓN DEL DESEMPEÑO</t>
  </si>
  <si>
    <t>CRITERIO A CUMPLIR</t>
  </si>
  <si>
    <t>DESCRIPCIÓN</t>
  </si>
  <si>
    <t>EVALUADOR</t>
  </si>
  <si>
    <t>CALIFICACIÓN (Puntos)</t>
  </si>
  <si>
    <t>DESEMPEÑO</t>
  </si>
  <si>
    <t>Calidad</t>
  </si>
  <si>
    <r>
      <t xml:space="preserve">Calidad de los Bienes Suministrados: </t>
    </r>
    <r>
      <rPr>
        <sz val="10"/>
        <rFont val="Arial"/>
        <family val="2"/>
      </rPr>
      <t>cumplimiento especificaciones</t>
    </r>
  </si>
  <si>
    <r>
      <rPr>
        <b/>
        <sz val="10"/>
        <rFont val="Arial"/>
        <family val="2"/>
      </rPr>
      <t>Todos los bienes</t>
    </r>
    <r>
      <rPr>
        <sz val="10"/>
        <rFont val="Arial"/>
        <family val="2"/>
      </rPr>
      <t xml:space="preserve"> se recibieron a satisfacción y sin problemas de funcionamiento.</t>
    </r>
  </si>
  <si>
    <t>ADMINISTRADOR DEL CONTRATO / RESPONSABLE TECNICO</t>
  </si>
  <si>
    <r>
      <rPr>
        <b/>
        <sz val="10"/>
        <rFont val="Arial"/>
        <family val="2"/>
      </rPr>
      <t xml:space="preserve">Algunos de los bienes </t>
    </r>
    <r>
      <rPr>
        <sz val="10"/>
        <rFont val="Arial"/>
        <family val="2"/>
      </rPr>
      <t xml:space="preserve">recibidos a satisfacción presentaron problemas de funcionamiento después de la entrega, </t>
    </r>
    <r>
      <rPr>
        <b/>
        <sz val="10"/>
        <rFont val="Arial"/>
        <family val="2"/>
      </rPr>
      <t xml:space="preserve">pero fueron intervenidos </t>
    </r>
    <r>
      <rPr>
        <sz val="10"/>
        <rFont val="Arial"/>
        <family val="2"/>
      </rPr>
      <t>oportunamente por el contratista.</t>
    </r>
  </si>
  <si>
    <r>
      <rPr>
        <b/>
        <sz val="10"/>
        <rFont val="Arial"/>
        <family val="2"/>
      </rPr>
      <t xml:space="preserve">Algunos de los bienes </t>
    </r>
    <r>
      <rPr>
        <sz val="10"/>
        <rFont val="Arial"/>
        <family val="2"/>
      </rPr>
      <t xml:space="preserve">recibidos a satisfacción presentaron problemas de funcionamiento después de la entrega, </t>
    </r>
    <r>
      <rPr>
        <b/>
        <sz val="10"/>
        <rFont val="Arial"/>
        <family val="2"/>
      </rPr>
      <t>pero NO fueron intervenidos</t>
    </r>
    <r>
      <rPr>
        <sz val="10"/>
        <rFont val="Arial"/>
        <family val="2"/>
      </rPr>
      <t xml:space="preserve"> oportunamente por el contratista.</t>
    </r>
  </si>
  <si>
    <r>
      <t xml:space="preserve">Calidad de los Bienes Suministrados: </t>
    </r>
    <r>
      <rPr>
        <sz val="10"/>
        <rFont val="Arial"/>
        <family val="2"/>
      </rPr>
      <t>cooperación</t>
    </r>
  </si>
  <si>
    <t>El personal demuestra, sistemática y evidentemente cooperación 
que asegura el adecuado suministro de los bienes</t>
  </si>
  <si>
    <t>El personal demuestra poca o regular cooperación, lo que dificulta el adecuado suministro de los bienes</t>
  </si>
  <si>
    <t>El personal no demuestra cooperación, incluso cuando se le solicita, lo que dificulta el adecuado suministro de los bienes</t>
  </si>
  <si>
    <t>Oportunidad</t>
  </si>
  <si>
    <r>
      <t>Oportunidad: c</t>
    </r>
    <r>
      <rPr>
        <sz val="10"/>
        <rFont val="Arial"/>
        <family val="2"/>
      </rPr>
      <t>umplimiento de fechas /cantidades</t>
    </r>
  </si>
  <si>
    <r>
      <rPr>
        <b/>
        <sz val="10"/>
        <rFont val="Arial"/>
        <family val="2"/>
      </rPr>
      <t xml:space="preserve">Todos los bienes </t>
    </r>
    <r>
      <rPr>
        <sz val="10"/>
        <rFont val="Arial"/>
        <family val="2"/>
      </rPr>
      <t>fueron entregados en la(s) fecha(s) programada(s) inicialmente con el contratista.</t>
    </r>
  </si>
  <si>
    <r>
      <rPr>
        <b/>
        <sz val="10"/>
        <rFont val="Arial"/>
        <family val="2"/>
      </rPr>
      <t>Algunos bienes NO</t>
    </r>
    <r>
      <rPr>
        <sz val="10"/>
        <rFont val="Arial"/>
        <family val="2"/>
      </rPr>
      <t xml:space="preserve"> fueron entregados en la(s) cantidad(es) y/o fecha(s) programada(s) con el contratista, </t>
    </r>
    <r>
      <rPr>
        <b/>
        <sz val="10"/>
        <rFont val="Arial"/>
        <family val="2"/>
      </rPr>
      <t>pero se acordó una reprogramación</t>
    </r>
    <r>
      <rPr>
        <sz val="10"/>
        <rFont val="Arial"/>
        <family val="2"/>
      </rPr>
      <t>.</t>
    </r>
  </si>
  <si>
    <r>
      <rPr>
        <b/>
        <sz val="10"/>
        <rFont val="Arial"/>
        <family val="2"/>
      </rPr>
      <t xml:space="preserve">Los bienes NO </t>
    </r>
    <r>
      <rPr>
        <sz val="10"/>
        <rFont val="Arial"/>
        <family val="2"/>
      </rPr>
      <t>fueron entregados en la(s) cantidad(es) y/o fecha(s) programada(s) con el contratista.</t>
    </r>
  </si>
  <si>
    <t>Gestión</t>
  </si>
  <si>
    <t>Entrega de Documentos para Orden de Inicio.</t>
  </si>
  <si>
    <r>
      <t xml:space="preserve">El tiempo de entrega a ISA de las Pólizas y demás documentos para dar la Orden de Inicio, fue </t>
    </r>
    <r>
      <rPr>
        <b/>
        <sz val="10"/>
        <rFont val="Arial"/>
        <family val="2"/>
      </rPr>
      <t xml:space="preserve">menor o igual </t>
    </r>
    <r>
      <rPr>
        <sz val="10"/>
        <rFont val="Arial"/>
        <family val="2"/>
      </rPr>
      <t>al tiempo establecido en el DSO.</t>
    </r>
  </si>
  <si>
    <t>COMPRADOR</t>
  </si>
  <si>
    <r>
      <t xml:space="preserve">El tiempo de entrega a ISA de las Pólizas y demás documentos para dar la Orden de Inicio, fue </t>
    </r>
    <r>
      <rPr>
        <b/>
        <sz val="10"/>
        <rFont val="Arial"/>
        <family val="2"/>
      </rPr>
      <t>mayor</t>
    </r>
    <r>
      <rPr>
        <sz val="10"/>
        <rFont val="Arial"/>
        <family val="2"/>
      </rPr>
      <t xml:space="preserve"> al tiempo establecido en el DSO.</t>
    </r>
  </si>
  <si>
    <t>Entrega de Documentos Contractuales.</t>
  </si>
  <si>
    <r>
      <rPr>
        <b/>
        <sz val="10"/>
        <rFont val="Arial"/>
        <family val="2"/>
      </rPr>
      <t>Todas las facturas y sus soportes</t>
    </r>
    <r>
      <rPr>
        <sz val="10"/>
        <rFont val="Arial"/>
        <family val="2"/>
      </rPr>
      <t>, la documentación contractual requerida durante la ejecución (informes, certificados, constancias, licencias, etc) y la documentación postcontractual (manuales, protocolos de pruebas, información técnica, etc) fueron entregadas de acuerdo a lo programado y sin errores.</t>
    </r>
  </si>
  <si>
    <t>ADMINISTRADOR DEL CONTRATO / RESPONSABLE ADMINISTRATIVO</t>
  </si>
  <si>
    <r>
      <rPr>
        <b/>
        <sz val="10"/>
        <rFont val="Arial"/>
        <family val="2"/>
      </rPr>
      <t>Algunas facturas y sus soportes</t>
    </r>
    <r>
      <rPr>
        <sz val="10"/>
        <rFont val="Arial"/>
        <family val="2"/>
      </rPr>
      <t xml:space="preserve">, la documentación contractual requerida durante la ejecución (informes, certificados, constancias, licencias, etc) y/o la documentación postcontractual (manuales, protocolos de pruebas, información técnica, etc) fueron entregadas de acuerdo a lo programado pero con errores y </t>
    </r>
    <r>
      <rPr>
        <b/>
        <sz val="10"/>
        <rFont val="Arial"/>
        <family val="2"/>
      </rPr>
      <t>como consecuencia se realizó su corrección</t>
    </r>
    <r>
      <rPr>
        <sz val="10"/>
        <rFont val="Arial"/>
        <family val="2"/>
      </rPr>
      <t>.</t>
    </r>
  </si>
  <si>
    <r>
      <rPr>
        <b/>
        <sz val="10"/>
        <rFont val="Arial"/>
        <family val="2"/>
      </rPr>
      <t>Algunas facturas y sus soportes</t>
    </r>
    <r>
      <rPr>
        <sz val="10"/>
        <rFont val="Arial"/>
        <family val="2"/>
      </rPr>
      <t xml:space="preserve">, la documentación contractual requerida durante la ejecución (informes, certificados, constancias, licencias, etc) y/o la documentación postcontractual (manuales, protocolos de pruebas, información técnica, etc) </t>
    </r>
    <r>
      <rPr>
        <b/>
        <sz val="10"/>
        <rFont val="Arial"/>
        <family val="2"/>
      </rPr>
      <t>NO fueron entregadas de acuerdo con lo programado y con errores</t>
    </r>
    <r>
      <rPr>
        <sz val="10"/>
        <rFont val="Arial"/>
        <family val="2"/>
      </rPr>
      <t>.</t>
    </r>
  </si>
  <si>
    <t>Código de ética / antifraude</t>
  </si>
  <si>
    <t>El contratista incurrió en faltas al código de ética / antifraude</t>
  </si>
  <si>
    <t>COMPRADOR / ADMINISTRADOR DEL CONTRATO/RESPONSABLE TÉCNICO / RESPONSABLE ADMINISTRATIVO</t>
  </si>
  <si>
    <t>5. RESUMEN DE LA EVALUACIÓN</t>
  </si>
  <si>
    <t>6. OBSERVACIONES GENERALES:</t>
  </si>
  <si>
    <t>CRITERIO</t>
  </si>
  <si>
    <t>CALIFICACIÓN POSIBLE</t>
  </si>
  <si>
    <t>CALIFICACIÓN OBTENIDA</t>
  </si>
  <si>
    <t>GESTIÓN</t>
  </si>
  <si>
    <t>CALIDAD</t>
  </si>
  <si>
    <t xml:space="preserve">OPORTUNIDAD </t>
  </si>
  <si>
    <t>EVALUACIÓN DE DESEMPEÑO</t>
  </si>
  <si>
    <t>VIOLACIÓN AL CÓDIGO DE ÉTICA / ANTIFRAUDE</t>
  </si>
  <si>
    <t>TOTAL CALIFICACIÓN GENERAL</t>
  </si>
  <si>
    <t>7. RESPONSABLE TECNICO DEL CONTRATO</t>
  </si>
  <si>
    <t>8. GERENTE o DIRECTOR DE AREA</t>
  </si>
  <si>
    <t>NOMBRE:</t>
  </si>
  <si>
    <t>AREA:</t>
  </si>
  <si>
    <t xml:space="preserve"> FIRMA:</t>
  </si>
  <si>
    <r>
      <rPr>
        <b/>
        <sz val="14"/>
        <rFont val="Arial"/>
        <family val="2"/>
      </rPr>
      <t>EVALUACIÓN DEL DESEMPEÑO DE CONTRATISTAS</t>
    </r>
    <r>
      <rPr>
        <b/>
        <sz val="10"/>
        <rFont val="Arial"/>
        <family val="2"/>
      </rPr>
      <t xml:space="preserve">
Contrato de Prestación de Servicios</t>
    </r>
  </si>
  <si>
    <t>GESTION</t>
  </si>
  <si>
    <t>OPORTUNIDAD</t>
  </si>
  <si>
    <t>CONDICIONADA</t>
  </si>
  <si>
    <t>DEFICIENTE</t>
  </si>
  <si>
    <t>BUENA</t>
  </si>
  <si>
    <t>Prestación de Servicios con HSE</t>
  </si>
  <si>
    <r>
      <t xml:space="preserve">Calidad de los Servicios Prestados: </t>
    </r>
    <r>
      <rPr>
        <sz val="10"/>
        <rFont val="Arial"/>
        <family val="2"/>
      </rPr>
      <t>cumplimiento de especificaciones</t>
    </r>
  </si>
  <si>
    <r>
      <t xml:space="preserve">El servicio prestado </t>
    </r>
    <r>
      <rPr>
        <b/>
        <sz val="10"/>
        <rFont val="Arial"/>
        <family val="2"/>
      </rPr>
      <t>cumplió con todas</t>
    </r>
    <r>
      <rPr>
        <sz val="10"/>
        <rFont val="Arial"/>
        <family val="2"/>
      </rPr>
      <t xml:space="preserve"> las especificaciones y normas técnicas establecidas en el contrato, cumplen satisfactoriamente con los informes periodicos y/o final muestran ampliamente la calidad solicitada.</t>
    </r>
  </si>
  <si>
    <r>
      <t xml:space="preserve">El servicio prestado </t>
    </r>
    <r>
      <rPr>
        <b/>
        <sz val="10"/>
        <rFont val="Arial"/>
        <family val="2"/>
      </rPr>
      <t>tuvo algunos incumplimientos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y/o fallas menores</t>
    </r>
    <r>
      <rPr>
        <sz val="10"/>
        <rFont val="Arial"/>
        <family val="2"/>
      </rPr>
      <t>, se presentaron falencias menores, de fácil corrección, los informes periodicos y/o final muestran razonablemente el nivel de calidad solicitado.</t>
    </r>
  </si>
  <si>
    <r>
      <t xml:space="preserve">El servicio prestado </t>
    </r>
    <r>
      <rPr>
        <b/>
        <sz val="10"/>
        <rFont val="Arial"/>
        <family val="2"/>
      </rPr>
      <t>tuvo incumplimientos y/o fallas graves</t>
    </r>
    <r>
      <rPr>
        <sz val="10"/>
        <rFont val="Arial"/>
        <family val="2"/>
      </rPr>
      <t>, asociadas al cumplimiento de las especificaciones y/o a las normas  técnicas, los informes periodicos y/o final cumplen con lo mínimo, pero es susceptible de ser mejorado.</t>
    </r>
  </si>
  <si>
    <r>
      <t xml:space="preserve">Calidad de los Servicios Prestados: </t>
    </r>
    <r>
      <rPr>
        <sz val="10"/>
        <rFont val="Arial"/>
        <family val="2"/>
      </rPr>
      <t>Personal que ejecutó el Servicio.</t>
    </r>
  </si>
  <si>
    <r>
      <t xml:space="preserve">El personal asignado </t>
    </r>
    <r>
      <rPr>
        <b/>
        <sz val="10"/>
        <rFont val="Arial"/>
        <family val="2"/>
      </rPr>
      <t xml:space="preserve">fue suficiente </t>
    </r>
    <r>
      <rPr>
        <sz val="10"/>
        <rFont val="Arial"/>
        <family val="2"/>
      </rPr>
      <t>y tenía las competencias necesarias para ejecutar todas las actividades del contrato.</t>
    </r>
  </si>
  <si>
    <r>
      <t xml:space="preserve">El personal asignado inicialmente, </t>
    </r>
    <r>
      <rPr>
        <b/>
        <sz val="10"/>
        <rFont val="Arial"/>
        <family val="2"/>
      </rPr>
      <t>no fue suficiente</t>
    </r>
    <r>
      <rPr>
        <sz val="10"/>
        <rFont val="Arial"/>
        <family val="2"/>
      </rPr>
      <t xml:space="preserve"> y/o no tenía las competencias necesarias para ejecutar todas las actividades del contrato, </t>
    </r>
    <r>
      <rPr>
        <b/>
        <sz val="10"/>
        <rFont val="Arial"/>
        <family val="2"/>
      </rPr>
      <t>situación que fue subsanada</t>
    </r>
    <r>
      <rPr>
        <sz val="10"/>
        <rFont val="Arial"/>
        <family val="2"/>
      </rPr>
      <t xml:space="preserve"> oportunamente.</t>
    </r>
  </si>
  <si>
    <r>
      <t xml:space="preserve">El personal asignado </t>
    </r>
    <r>
      <rPr>
        <b/>
        <sz val="10"/>
        <rFont val="Arial"/>
        <family val="2"/>
      </rPr>
      <t>no fue suficiente</t>
    </r>
    <r>
      <rPr>
        <sz val="10"/>
        <rFont val="Arial"/>
        <family val="2"/>
      </rPr>
      <t xml:space="preserve"> y/o no tenía las competencias necesarias para ejecutar todas las actividades del contrato, </t>
    </r>
    <r>
      <rPr>
        <b/>
        <sz val="10"/>
        <rFont val="Arial"/>
        <family val="2"/>
      </rPr>
      <t>situación que no fue subsanada</t>
    </r>
    <r>
      <rPr>
        <sz val="10"/>
        <rFont val="Arial"/>
        <family val="2"/>
      </rPr>
      <t>.</t>
    </r>
  </si>
  <si>
    <r>
      <t xml:space="preserve">Calidad de los servicios prestados: </t>
    </r>
    <r>
      <rPr>
        <sz val="10"/>
        <rFont val="Arial"/>
        <family val="2"/>
      </rPr>
      <t xml:space="preserve"> atención a los requerimientos</t>
    </r>
  </si>
  <si>
    <t>Cuando fue requerido, el contratista dispuso de personal  para atender la situación en el sitio requerido</t>
  </si>
  <si>
    <t>En algunas de las ocasiones en las que fue requerido, el contratista dispuso de personal  para atender la situación en el sitio requerido</t>
  </si>
  <si>
    <t>Cuando fue requerido, el contratista no dispuso de personal  para atender la situación en el sitio requerido</t>
  </si>
  <si>
    <r>
      <t xml:space="preserve">Oportunidad: </t>
    </r>
    <r>
      <rPr>
        <sz val="10"/>
        <rFont val="Arial"/>
        <family val="2"/>
      </rPr>
      <t>cumplimiento de los plazos</t>
    </r>
  </si>
  <si>
    <r>
      <t xml:space="preserve">El servicio fue entregado </t>
    </r>
    <r>
      <rPr>
        <b/>
        <sz val="10"/>
        <rFont val="Arial"/>
        <family val="2"/>
      </rPr>
      <t>en la fecha programada</t>
    </r>
    <r>
      <rPr>
        <sz val="10"/>
        <rFont val="Arial"/>
        <family val="2"/>
      </rPr>
      <t xml:space="preserve"> con el proveedor.</t>
    </r>
  </si>
  <si>
    <r>
      <t xml:space="preserve">El servicio NO fue entregado en la fecha programada con el proveedor, pero </t>
    </r>
    <r>
      <rPr>
        <b/>
        <sz val="10"/>
        <rFont val="Arial"/>
        <family val="2"/>
      </rPr>
      <t xml:space="preserve">NO se generaron impactos negativos </t>
    </r>
    <r>
      <rPr>
        <sz val="10"/>
        <rFont val="Arial"/>
        <family val="2"/>
      </rPr>
      <t>para ISA.</t>
    </r>
  </si>
  <si>
    <r>
      <t xml:space="preserve">El servicio NO fue entregado en la fecha programada con el proveedor y como consecuencia </t>
    </r>
    <r>
      <rPr>
        <b/>
        <sz val="10"/>
        <rFont val="Arial"/>
        <family val="2"/>
      </rPr>
      <t>se generaron impactos negativos</t>
    </r>
    <r>
      <rPr>
        <sz val="10"/>
        <rFont val="Arial"/>
        <family val="2"/>
      </rPr>
      <t xml:space="preserve"> para ISA.</t>
    </r>
  </si>
  <si>
    <t>HSE</t>
  </si>
  <si>
    <t>Requisitos en Salud Ocupacional.</t>
  </si>
  <si>
    <r>
      <t xml:space="preserve">El contratista cumple con todas las </t>
    </r>
    <r>
      <rPr>
        <b/>
        <sz val="10"/>
        <rFont val="Arial"/>
        <family val="2"/>
      </rPr>
      <t>medidas de control</t>
    </r>
    <r>
      <rPr>
        <sz val="10"/>
        <rFont val="Arial"/>
        <family val="2"/>
      </rPr>
      <t xml:space="preserve">  (Requisitos legales, Normas, Procedimientos de trabajo, Capacitacion, Matriz de Peligros y Riesgos) durante la ejecución de las actividades objeto del contrato.</t>
    </r>
  </si>
  <si>
    <r>
      <t xml:space="preserve">El contratista presento algunos </t>
    </r>
    <r>
      <rPr>
        <b/>
        <sz val="10"/>
        <rFont val="Arial"/>
        <family val="2"/>
      </rPr>
      <t>incumplimientos de las medidas de control</t>
    </r>
    <r>
      <rPr>
        <sz val="10"/>
        <rFont val="Arial"/>
        <family val="2"/>
      </rPr>
      <t xml:space="preserve">  (Requisitos legales, Normas, Procedimientos de trabajo, Capacitacion, Matriz de Peligros y Riesgos) durante la ejecución de las actividades objeto del contrato.</t>
    </r>
  </si>
  <si>
    <r>
      <t>El contratista presento</t>
    </r>
    <r>
      <rPr>
        <b/>
        <sz val="10"/>
        <rFont val="Arial"/>
        <family val="2"/>
      </rPr>
      <t xml:space="preserve"> incumplimientos de las medidas de control</t>
    </r>
    <r>
      <rPr>
        <sz val="10"/>
        <rFont val="Arial"/>
        <family val="2"/>
      </rPr>
      <t xml:space="preserve"> durante la ejecución de las actividades objeto del contrato  (Requisitos legales, Normas, Procedimientos de trabajo, Capacitacion, Matriz de Peligros y Riesgos), </t>
    </r>
    <r>
      <rPr>
        <b/>
        <sz val="10"/>
        <rFont val="Arial"/>
        <family val="2"/>
      </rPr>
      <t xml:space="preserve">o se presentaron accidentes graves o mortales derivados de una deficiente administracion y gestion de los riesgos. </t>
    </r>
  </si>
  <si>
    <t>Requisitos Ambientales.</t>
  </si>
  <si>
    <r>
      <t xml:space="preserve">El contratista </t>
    </r>
    <r>
      <rPr>
        <b/>
        <sz val="10"/>
        <rFont val="Arial"/>
        <family val="2"/>
      </rPr>
      <t>cumple</t>
    </r>
    <r>
      <rPr>
        <sz val="10"/>
        <rFont val="Arial"/>
        <family val="2"/>
      </rPr>
      <t xml:space="preserve"> con todos los Requisitos legales, Normas, Procedimientos, Capacitacion, Matriz de Aspectos e impactos, Plan de Manejo Ambiental durante la ejecucion del contrato. </t>
    </r>
  </si>
  <si>
    <r>
      <t xml:space="preserve">El contratista </t>
    </r>
    <r>
      <rPr>
        <b/>
        <sz val="10"/>
        <rFont val="Arial"/>
        <family val="2"/>
      </rPr>
      <t xml:space="preserve">presento incumplimientos </t>
    </r>
    <r>
      <rPr>
        <sz val="10"/>
        <rFont val="Arial"/>
        <family val="2"/>
      </rPr>
      <t>de los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Requisitos legales, Normas, Procedimientos, Capacitacion, Matriz de Aspectos e impactos, Plan de Manejo Ambiental, durante la ejecucion del contrato. </t>
    </r>
    <r>
      <rPr>
        <b/>
        <sz val="10"/>
        <rFont val="Arial"/>
        <family val="2"/>
      </rPr>
      <t>Corrigio y gestiono adecuadamente y oportunamente los Impactos Ambientales</t>
    </r>
  </si>
  <si>
    <r>
      <t xml:space="preserve">El contratista </t>
    </r>
    <r>
      <rPr>
        <b/>
        <sz val="10"/>
        <rFont val="Arial"/>
        <family val="2"/>
      </rPr>
      <t>presento incumplimientos</t>
    </r>
    <r>
      <rPr>
        <sz val="10"/>
        <rFont val="Arial"/>
        <family val="2"/>
      </rPr>
      <t xml:space="preserve"> de los Requisitos legales, Normas, Procedimientos, Capacitacion, Matriz de Aspectos e impactos, Plan de Manejo Ambiental, durante la ejecucion del contrato. </t>
    </r>
    <r>
      <rPr>
        <b/>
        <sz val="10"/>
        <rFont val="Arial"/>
        <family val="2"/>
      </rPr>
      <t>Generando impactos ambientales significativos y consecuencias para ISA como multas, sanciones, afectación de reputación, entre otras.</t>
    </r>
  </si>
  <si>
    <t>Código de ética / antifraCódigo de ética / antifraudeude</t>
  </si>
  <si>
    <t>VIOLACIÓN AL CODIGO DE ÉTICA Y ANTIFRAUDE</t>
  </si>
  <si>
    <t>TOTAL EVALUACIÓN GENERAL</t>
  </si>
  <si>
    <t>NUMCATCORP</t>
  </si>
  <si>
    <t xml:space="preserve">DESCRIPCIÓN CATEGORÍA CORPORATIVA </t>
  </si>
  <si>
    <t>CODCAT_DESCAT</t>
  </si>
  <si>
    <t xml:space="preserve">CÓDIGO SUBCATEGORÍA </t>
  </si>
  <si>
    <t xml:space="preserve">DESCRIPCIÓN SUBCATEGORÍA </t>
  </si>
  <si>
    <t>CODSUB_DESCRISUB</t>
  </si>
  <si>
    <t>01</t>
  </si>
  <si>
    <t>ACTIVIDADES RUTINARIAS MENORES</t>
  </si>
  <si>
    <t>402010001</t>
  </si>
  <si>
    <t>BACHEO MANTENIMIENTO RUTINARIO</t>
  </si>
  <si>
    <t>402010002</t>
  </si>
  <si>
    <t>BARRERAS NEW JERSEY</t>
  </si>
  <si>
    <t>402010003</t>
  </si>
  <si>
    <t>CERCOS METÁLICOS Y MALLAS CIERRO</t>
  </si>
  <si>
    <t>402010004</t>
  </si>
  <si>
    <t>CONTROL HIELOS PAVIMENTO</t>
  </si>
  <si>
    <t>402010006</t>
  </si>
  <si>
    <t>EVENTOS SEGURIDAD VIAL</t>
  </si>
  <si>
    <t>402010007</t>
  </si>
  <si>
    <t>MANTENIMIENTO  PANTALLAS ACÚSTICAS</t>
  </si>
  <si>
    <t>402010009</t>
  </si>
  <si>
    <t>MANTENIMIENTO PARADEROS DE BUSES</t>
  </si>
  <si>
    <t>402010010</t>
  </si>
  <si>
    <t>MANTENIMIENTO PLAZAS DE PEAJE</t>
  </si>
  <si>
    <t>402010011</t>
  </si>
  <si>
    <t>MANTENIMIENTO RUTINARIO DE BERMAS</t>
  </si>
  <si>
    <t>402010012</t>
  </si>
  <si>
    <t>MANTENIMIENTO RUTINARIO PAVIMENTOS</t>
  </si>
  <si>
    <t>402010013</t>
  </si>
  <si>
    <t>MANTENIMIENTO RUTINARIO SEÑALES</t>
  </si>
  <si>
    <t>402010014</t>
  </si>
  <si>
    <t>REPOSICIÓN DE PARADEROS DE BUSES</t>
  </si>
  <si>
    <t>402010015</t>
  </si>
  <si>
    <t>RETIRO Y BORRADO PROPAGANDA</t>
  </si>
  <si>
    <t>ALQUILER DE MAQUINARIA, EQUIPOS Y HERRAMIENTAS</t>
  </si>
  <si>
    <t>101010006</t>
  </si>
  <si>
    <t>ALQUILER DE VEHÍCULOS</t>
  </si>
  <si>
    <t>ASEO Y CAFETERÍA</t>
  </si>
  <si>
    <t>103010001</t>
  </si>
  <si>
    <t>103010003</t>
  </si>
  <si>
    <t>SERVICIO DE ALIMENTACIÓN</t>
  </si>
  <si>
    <t>DEPORTES Y RECREACIÓN</t>
  </si>
  <si>
    <t>111010003</t>
  </si>
  <si>
    <t>SERVICIOS DE RECREACIÓN Y DEPORTE</t>
  </si>
  <si>
    <t>DESARROLLO DE SOFTWARE</t>
  </si>
  <si>
    <t>112010001</t>
  </si>
  <si>
    <t>PUBLICIDAD, MERCADEO Y COMUNICACIONES</t>
  </si>
  <si>
    <t>106010002</t>
  </si>
  <si>
    <t xml:space="preserve">AVISOS Y PUBLICACIONES </t>
  </si>
  <si>
    <t>106010004</t>
  </si>
  <si>
    <t>DISEÑO E IMPRESIÓN DIGITAL</t>
  </si>
  <si>
    <t>106010005</t>
  </si>
  <si>
    <t>DISEÑO Y GESTIÓN DE ESTRATEGIAS DE COMUNICACIÓN</t>
  </si>
  <si>
    <t>106010007</t>
  </si>
  <si>
    <t>ELABORACIÓN DE PIEZAS COMUNICACIONALES</t>
  </si>
  <si>
    <t>106010008</t>
  </si>
  <si>
    <t>ENCUESTAS</t>
  </si>
  <si>
    <t>SERVICIOS ADMINISTRATIVOS</t>
  </si>
  <si>
    <t>108010001</t>
  </si>
  <si>
    <t>ADMINISTRACIÓN DOCUMENTAL</t>
  </si>
  <si>
    <t>108010008</t>
  </si>
  <si>
    <t>SERVICIOS DE IMPRESIÓN Y REPROGRAFÍA</t>
  </si>
  <si>
    <t>SERVICIOS FINANCIEROS</t>
  </si>
  <si>
    <t>109010003</t>
  </si>
  <si>
    <t>ASESORÍAS Y/O CONSULTORÍAS EN SERVICIOS FINANCIEROS</t>
  </si>
  <si>
    <t>109010007</t>
  </si>
  <si>
    <t>SERVICIO DE ASEGURAMIENTO</t>
  </si>
  <si>
    <t>109010008</t>
  </si>
  <si>
    <t>SERVICIO DE INTERMEDIACIÓN DE SEGUROS</t>
  </si>
  <si>
    <t>SERVICIOS PARA LA GESTIÓN AMBIENTAL Y SOCIAL</t>
  </si>
  <si>
    <t>113010001</t>
  </si>
  <si>
    <t>ELABORACIÓN DE ESTUDIOS AMBIENTALES</t>
  </si>
  <si>
    <t>SUMINISTRO SISTEMAS DE CONTENCIÓN VIAL</t>
  </si>
  <si>
    <t>401010001</t>
  </si>
  <si>
    <t>02</t>
  </si>
  <si>
    <t>DOTACIÓN</t>
  </si>
  <si>
    <t>111020001</t>
  </si>
  <si>
    <t>UNIFORMES DE DOTACIÓN</t>
  </si>
  <si>
    <t>ASESORÍAS Y/O CONSULTORÍAS GENERALES</t>
  </si>
  <si>
    <t>110020006</t>
  </si>
  <si>
    <t>ASESORÍAS Y/O CONSULTORÍAS EN TECNOLOGÍA COMUNES O ESPECIALIZADAS</t>
  </si>
  <si>
    <t>110020007</t>
  </si>
  <si>
    <t>ASESORÍAS Y/O CONSULTORÍAS ESTRATÉGICAS</t>
  </si>
  <si>
    <t>SERVICIOS POSTALES Y DE MENSAJERÍA</t>
  </si>
  <si>
    <t>108020003</t>
  </si>
  <si>
    <t>SERVICIO DE MENSAJERÍA</t>
  </si>
  <si>
    <t>PARTES Y ACCESORIOS PARA EQUIPOS DE CÓMPUTO, SERVIDORES, REDES, BACKUP Y ALMACENAMIENTO</t>
  </si>
  <si>
    <t>112020001</t>
  </si>
  <si>
    <t>ASESORÍAS Y/O CONSULTORÍAS TÉCNICAS EN VÍAS</t>
  </si>
  <si>
    <t>402020001</t>
  </si>
  <si>
    <t>ESTUDIOS Y PROYECTOS VIALES</t>
  </si>
  <si>
    <t>03</t>
  </si>
  <si>
    <t>MANTENIMIENTO LOCATIVO</t>
  </si>
  <si>
    <t>103030005</t>
  </si>
  <si>
    <t>MANTENIMIENTO ELÉCTRICO</t>
  </si>
  <si>
    <t>103030006</t>
  </si>
  <si>
    <t>MANTENIMIENTO LOCATIVO GENERAL (TECHOS, PAREDES, PINTURA, JARDINES, ETC)</t>
  </si>
  <si>
    <t>MANTENIMIENTO DE EQUIPOS GENERALES</t>
  </si>
  <si>
    <t>101030005</t>
  </si>
  <si>
    <t>MANTENIMIENTO EQUIPOS PARA USO EN INFRAESTRUCTURA Y ZONAS COMUNES</t>
  </si>
  <si>
    <t>101030009</t>
  </si>
  <si>
    <t>MANTENIMIENTO VEHÍCULOS</t>
  </si>
  <si>
    <t>CONSTRUCCIÓN DE ELEMENTOS DE DRENAJE SUBSUPERFICIAL</t>
  </si>
  <si>
    <t>402030001</t>
  </si>
  <si>
    <t>DRENES Y SUBDRENES</t>
  </si>
  <si>
    <t>FORMACIÓN</t>
  </si>
  <si>
    <t>111030001</t>
  </si>
  <si>
    <t>ELABORACIÓN DE CURSOS VIRTUALES</t>
  </si>
  <si>
    <t>111030002</t>
  </si>
  <si>
    <t>EVENTOS DE FORMACIÓN</t>
  </si>
  <si>
    <t>AUDITORÍAS</t>
  </si>
  <si>
    <t>110030004</t>
  </si>
  <si>
    <t>AUDITORÍAS INTERNAS</t>
  </si>
  <si>
    <t>04</t>
  </si>
  <si>
    <t>SERVICIOS DE TELECOMUNICACIONES ADMINISTRATIVOS</t>
  </si>
  <si>
    <t>112040001</t>
  </si>
  <si>
    <t>SERVICIOS JURÍDICOS</t>
  </si>
  <si>
    <t>110040001</t>
  </si>
  <si>
    <t xml:space="preserve">ASESORÍA JURÍDICA Y REGULATORIA </t>
  </si>
  <si>
    <t>110040005</t>
  </si>
  <si>
    <t xml:space="preserve">SERVICIOS NOTARIALES </t>
  </si>
  <si>
    <t>MATERIALES Y HERRAMIENTAS DE USO GENERAL</t>
  </si>
  <si>
    <t>101040004</t>
  </si>
  <si>
    <t>COMBUSTIBLES</t>
  </si>
  <si>
    <t>CONSTRUCCIÓN, MANTENIMIENTO Y REPARACIÓN DE TALUDES</t>
  </si>
  <si>
    <t>402040001</t>
  </si>
  <si>
    <t>CONTENCIÓN TALUDES</t>
  </si>
  <si>
    <t>SERVICIOS DE GESTIÓN HUMANA</t>
  </si>
  <si>
    <t>111040007</t>
  </si>
  <si>
    <t>MEDICIONES DE GESTIÓN HUMANA</t>
  </si>
  <si>
    <t>05</t>
  </si>
  <si>
    <t>SUMINISTROS GENERALES ADMINISTRATIVOS</t>
  </si>
  <si>
    <t>101050001</t>
  </si>
  <si>
    <t>AGUA POTABLE PARA SEDES Y SUBESTACIONES</t>
  </si>
  <si>
    <t>101050007</t>
  </si>
  <si>
    <t>ÚTILES DE ESCRITORIO Y PAPELERÍA</t>
  </si>
  <si>
    <t>GESTIÓN COMERCIAL RECAUDO ELECTRÓNICO Y TAG</t>
  </si>
  <si>
    <t>402050001</t>
  </si>
  <si>
    <t>COBRANZA MEDIOS DE PAGO ELECTRÓNICOS</t>
  </si>
  <si>
    <t>402050002</t>
  </si>
  <si>
    <t>OFICINAS COMERCIALES</t>
  </si>
  <si>
    <t>402050004</t>
  </si>
  <si>
    <t>SERVICIO MEDIOS DE PAGO ELECTRÓNICOS</t>
  </si>
  <si>
    <t>SOLUCIONES DE CIBERSEGURIDAD ESPECÍFICAS</t>
  </si>
  <si>
    <t>112050001</t>
  </si>
  <si>
    <t>06</t>
  </si>
  <si>
    <t>SOLUCIONES DE CIBERSEGURIDAD HOMOLOGADAS PARA EL GRUPO</t>
  </si>
  <si>
    <t>112060001</t>
  </si>
  <si>
    <t>INSTALACIÓN Y REPARACIÓN SISTEMAS DE CONTENCIÓN VIAL</t>
  </si>
  <si>
    <t>402060001</t>
  </si>
  <si>
    <t>07</t>
  </si>
  <si>
    <t>SOLUCIONES DE CÓMPUTO PERSONAL</t>
  </si>
  <si>
    <t>112070001</t>
  </si>
  <si>
    <t>VIGILANCIA</t>
  </si>
  <si>
    <t>103070002</t>
  </si>
  <si>
    <t>SERVICIO DE VIGILANCIA Y SEGURIDAD</t>
  </si>
  <si>
    <t>MANTENIMIENTO CALLES DE SERVICIO O ACCESOS GRANULARES</t>
  </si>
  <si>
    <t>402070001</t>
  </si>
  <si>
    <t>08</t>
  </si>
  <si>
    <t>MANTENIMIENTO DE PAVIMENTO DE HORMIGÓN</t>
  </si>
  <si>
    <t>402080001</t>
  </si>
  <si>
    <t>CEPILLADO PAVIMENTOS</t>
  </si>
  <si>
    <t>402080002</t>
  </si>
  <si>
    <t>ESTABILIZACIÓN LOSAS</t>
  </si>
  <si>
    <t>402080003</t>
  </si>
  <si>
    <t>REEMPLAZO DE LOSAS DE HORMIGÓN RÍGIDO</t>
  </si>
  <si>
    <t>402080004</t>
  </si>
  <si>
    <t>REPARACIÓN DE ESPESOR PARCIAL O RODADURA</t>
  </si>
  <si>
    <t>SOLUCIONES DE ERP Y SISTEMAS VINCULADOS</t>
  </si>
  <si>
    <t>112080001</t>
  </si>
  <si>
    <t>09</t>
  </si>
  <si>
    <t>SOLUCIONES DE SERVIDORES, BACKUP Y ALMACENAMIENTO</t>
  </si>
  <si>
    <t>112090001</t>
  </si>
  <si>
    <t>MANTENIMIENTO E INSUMOS EQUIPOS TÚNEL Y EQUIPOS DE EMERGENCIA</t>
  </si>
  <si>
    <t>402090001</t>
  </si>
  <si>
    <t>ACTUALIZACIÓN SOFTWARE TÚNEL</t>
  </si>
  <si>
    <t>402090002</t>
  </si>
  <si>
    <t>MANTENIMIENTO EQUIPOS DE EMERGENCIA</t>
  </si>
  <si>
    <t>402090003</t>
  </si>
  <si>
    <t>MANTENIMIENTO SISTEMAS DE EQUIPOS CONTROL</t>
  </si>
  <si>
    <t>402090004</t>
  </si>
  <si>
    <t>MANTENIMIENTO SISTEMAS DE EQUIPOS ELÉCTRICOS</t>
  </si>
  <si>
    <t>402090005</t>
  </si>
  <si>
    <t>MANTENIMIENTO SISTEMAS DE VENTILADORES</t>
  </si>
  <si>
    <t>402090006</t>
  </si>
  <si>
    <t>RECAMBIO EQUIPOS DE CONTROL E INFORMACIÓN TÚNEL</t>
  </si>
  <si>
    <t>402090007</t>
  </si>
  <si>
    <t>RECAMBIO EQUIPOS ELÉCTRICOS TÚNEL</t>
  </si>
  <si>
    <t>402090008</t>
  </si>
  <si>
    <t>RECAMBIO GENERADOR PLAZAS PEAJE O TÚNEL</t>
  </si>
  <si>
    <t>402090009</t>
  </si>
  <si>
    <t>RECAMBIO SERVIDORES SISTEMAS TÚNEL</t>
  </si>
  <si>
    <t>402090010</t>
  </si>
  <si>
    <t>RECAMBIO SISTEMAS ILUMINACIÓN TÚNEL</t>
  </si>
  <si>
    <t>402090011</t>
  </si>
  <si>
    <t>RECAMBIO TABLEROS ELÉCTRICOS TÚNEL</t>
  </si>
  <si>
    <t>402090012</t>
  </si>
  <si>
    <t>RECAMBIO VENTILADORES TÚNEL</t>
  </si>
  <si>
    <t>10</t>
  </si>
  <si>
    <t>MANTENIMIENTO E INSUMOS SISTEMA DE PEAJES Y OTROS EQUIPOS</t>
  </si>
  <si>
    <t>IMPRESIÓN BOLETOS DE PEAJES</t>
  </si>
  <si>
    <t>402100003</t>
  </si>
  <si>
    <t>INSUMOS MANTENIMIENTO Y REPARACIÓN DE POSTES SOS</t>
  </si>
  <si>
    <t>402100004</t>
  </si>
  <si>
    <t>MANTENIMIENTO DE PANELES DE MENSAJERÍA VARIABLE</t>
  </si>
  <si>
    <t>402100006</t>
  </si>
  <si>
    <t>MANTENIMIENTO EQUIPOS Y TECNOLOGÍAS DE RUTA</t>
  </si>
  <si>
    <t>402100007</t>
  </si>
  <si>
    <t>MANTENIMIENTO RUTINARIO DE POSTES SOS</t>
  </si>
  <si>
    <t>402100008</t>
  </si>
  <si>
    <t>MANTENIMIENTO RUTINARIO DE SISTEMAS DE CCTV</t>
  </si>
  <si>
    <t>402100009</t>
  </si>
  <si>
    <t>MANTENIMIENTO RUTINARIO DE SISTEMAS DE PEAJES</t>
  </si>
  <si>
    <t>402100011</t>
  </si>
  <si>
    <t>RECAMBIO MAYOR PANELES DE MENSAJERÍA VARIABLE</t>
  </si>
  <si>
    <t>402100014</t>
  </si>
  <si>
    <t>RECAMBIO MAYOR VÍAS SISTEMAS DE PEAJE</t>
  </si>
  <si>
    <t>402100015</t>
  </si>
  <si>
    <t>RECAMBIO SERVIDORES SISTEMAS DE PEAJE</t>
  </si>
  <si>
    <t>402100016</t>
  </si>
  <si>
    <t>RENOVACIÓN TECNOLÓGICA DE SISTEMAS DE PEAJES</t>
  </si>
  <si>
    <t>402100017</t>
  </si>
  <si>
    <t>REPUESTOS E INSUMOS PARA EQUIPOS DE PEAJES Y TECNOLOGÍAS DE RUTA</t>
  </si>
  <si>
    <t>402100018</t>
  </si>
  <si>
    <t>SOFTWARE SISTEMAS DE COBRO</t>
  </si>
  <si>
    <t>402100019</t>
  </si>
  <si>
    <t>TAG</t>
  </si>
  <si>
    <t>402100020</t>
  </si>
  <si>
    <t>TARJETA SIN CONTACTO</t>
  </si>
  <si>
    <t>SOLUCIONES DE TELEFONÍA MÓVIL</t>
  </si>
  <si>
    <t>112100001</t>
  </si>
  <si>
    <t>11</t>
  </si>
  <si>
    <t>SOLUCIONES SOFTWARE COMERCIALES (NO VINCULADAS A ERP NI A PLATAFORMA BASE Y DE PRODUCTIVIDAD)</t>
  </si>
  <si>
    <t>112110002</t>
  </si>
  <si>
    <t>SOLUCIONES DE SOFTWARE GENÉRICO</t>
  </si>
  <si>
    <t>MANTENIMIENTO MAYOR EN ESTRUCTURAS Y CAUCES</t>
  </si>
  <si>
    <t>402110001</t>
  </si>
  <si>
    <t>DRENAJE PUENTES</t>
  </si>
  <si>
    <t>402110002</t>
  </si>
  <si>
    <t>JUNTAS EXPANSIÓN</t>
  </si>
  <si>
    <t>402110003</t>
  </si>
  <si>
    <t>MANTENIMIENTO BARANDAS</t>
  </si>
  <si>
    <t>402110004</t>
  </si>
  <si>
    <t>MANTENIMIENTO CAUCES</t>
  </si>
  <si>
    <t>402110005</t>
  </si>
  <si>
    <t>MANTENIMIENTO PAVIMENTOS PUENTES Y ESTRUCTURAS</t>
  </si>
  <si>
    <t>12</t>
  </si>
  <si>
    <t>MANTENIMIENTO PAVIMENTOS Y BERMAS DE ASFALTO</t>
  </si>
  <si>
    <t>402120001</t>
  </si>
  <si>
    <t>BACHEO MANTENIMIENTO MAYOR</t>
  </si>
  <si>
    <t>402120002</t>
  </si>
  <si>
    <t>FRESADO Y MICROFRESADO CARPETA ASFÁLTICA</t>
  </si>
  <si>
    <t>402120003</t>
  </si>
  <si>
    <t>MANTENIMIENTO CARPETA RODADURA</t>
  </si>
  <si>
    <t>402120004</t>
  </si>
  <si>
    <t>MANTENIMIENTO MAYOR BERMAS</t>
  </si>
  <si>
    <t>402120005</t>
  </si>
  <si>
    <t>MANTENIMIENTO MAYOR CALLES DE SERVICIO O ACCESOS</t>
  </si>
  <si>
    <t>402120006</t>
  </si>
  <si>
    <t>MICROAGLOMERADOS</t>
  </si>
  <si>
    <t>402120007</t>
  </si>
  <si>
    <t>SUMINISTRO Y COLOCACIÓN MEZCLA ASFÁLTICA CALIENTE</t>
  </si>
  <si>
    <t>SOLUCIONES TECNOLÓGICAS ESTÁNDAR DE PLATAFORMA BASE Y DE PRODUCTIVIDAD</t>
  </si>
  <si>
    <t>112120001</t>
  </si>
  <si>
    <t>13</t>
  </si>
  <si>
    <t>SOPORTE Y MANTENIMIENTO DE INFRAESTRUCTURA TECNOLÓGICA</t>
  </si>
  <si>
    <t>112130001</t>
  </si>
  <si>
    <t>MANTENIMIENTO Y REPOSICIÓN DE SEÑALIZACIÓN HORIZONTAL Y VERTICAL</t>
  </si>
  <si>
    <t>402130001</t>
  </si>
  <si>
    <t>DEMARCACIÓN PAVIMENTO</t>
  </si>
  <si>
    <t>402130002</t>
  </si>
  <si>
    <t>REMOCIÓN E INSTALACIÓN DE SEÑALES</t>
  </si>
  <si>
    <t>402130003</t>
  </si>
  <si>
    <t>TACHAS Y TACHONES REFLECTANTES</t>
  </si>
  <si>
    <t>14</t>
  </si>
  <si>
    <t>PAISAJISMO, MANTENIMIENTO FAJA Y MANTENIMIENTO DE ELEMENTOS DE DRENAJE SUPERFICIAL</t>
  </si>
  <si>
    <t>402140001</t>
  </si>
  <si>
    <t>ELEMENTOS DE DRENAJE</t>
  </si>
  <si>
    <t>402140002</t>
  </si>
  <si>
    <t>LIMPIEZA Y ROCE</t>
  </si>
  <si>
    <t>402140003</t>
  </si>
  <si>
    <t>PAISAJISMO</t>
  </si>
  <si>
    <t>402140004</t>
  </si>
  <si>
    <t>RETIRO BASURA Y ESCOMBROS</t>
  </si>
  <si>
    <t>402140005</t>
  </si>
  <si>
    <t>SANEAMIENTO</t>
  </si>
  <si>
    <t>SOPORTE Y MANTENIMIENTO DE SOLUCIONES TECNOLÓGICAS NO VINCULADAS AL ERP</t>
  </si>
  <si>
    <t>112140001</t>
  </si>
  <si>
    <t>15</t>
  </si>
  <si>
    <t>SOPORTE Y MANTENIMIENTO ERP Y SOLUCIONES TECNOLÓGICAS VINCULADAS DEL MISMO FABRICANTE</t>
  </si>
  <si>
    <t>112150001</t>
  </si>
  <si>
    <t>SELLOS DE JUNTAS Y GRIETAS DE PAVIMENTOS</t>
  </si>
  <si>
    <t>402150001</t>
  </si>
  <si>
    <t>SELLO DE JUNTAS Y GRIETAS</t>
  </si>
  <si>
    <t>16</t>
  </si>
  <si>
    <t>SERVICIO DE PEAJISTAS Y TRANSPORTE DE DINERO</t>
  </si>
  <si>
    <t>402160001</t>
  </si>
  <si>
    <t>SERVICIO TRANSPORTE DE DINERO</t>
  </si>
  <si>
    <t>402160002</t>
  </si>
  <si>
    <t>SERVICIOS DE PEAJISTAS</t>
  </si>
  <si>
    <t>17</t>
  </si>
  <si>
    <t>SERVICIO DE PESAJE Y CONTEO DE TRÁFICO</t>
  </si>
  <si>
    <t>402170002</t>
  </si>
  <si>
    <t>SERVICIO CONTEO DE TRÁFICO</t>
  </si>
  <si>
    <t>402170003</t>
  </si>
  <si>
    <t>SERVICIO DE PESAJE</t>
  </si>
  <si>
    <t>18</t>
  </si>
  <si>
    <t>SERVICIOS DE ATENCIÓN A USUARIOS</t>
  </si>
  <si>
    <t>402180001</t>
  </si>
  <si>
    <t>SERVICIO CHOFER PARAMÉDICOS</t>
  </si>
  <si>
    <t>402180002</t>
  </si>
  <si>
    <t>SERVICIO AMBULANCIA</t>
  </si>
  <si>
    <t>402180004</t>
  </si>
  <si>
    <t>SERVICIO GRÚAS</t>
  </si>
  <si>
    <t>402180005</t>
  </si>
  <si>
    <t>SERVICIO PATRULLAS, VIGILANCIA E INSPECCIÓN DE TRÁFICO</t>
  </si>
  <si>
    <t>Evaluación Continua de Acreedores</t>
  </si>
  <si>
    <t>01_ACTIVIDADES RUTINARIAS MENORES</t>
  </si>
  <si>
    <t>01_ALQUILER DE MAQUINARIA, EQUIPOS Y HERRAMIENTAS</t>
  </si>
  <si>
    <t>NOMBRE DEL ACREEDOR</t>
  </si>
  <si>
    <t>RUT</t>
  </si>
  <si>
    <t>01_ASEO Y CAFETERÍA</t>
  </si>
  <si>
    <t>01_DEPORTES Y RECREACIÓN</t>
  </si>
  <si>
    <t>01_DESARROLLO DE SOFTWARE</t>
  </si>
  <si>
    <t>01_PUBLICIDAD, MERCADEO Y COMUNICACIONES</t>
  </si>
  <si>
    <t>x</t>
  </si>
  <si>
    <t>01_SERVICIOS ADMINISTRATIVOS</t>
  </si>
  <si>
    <t>01_SERVICIOS FINANCIEROS</t>
  </si>
  <si>
    <t>01_SERVICIOS PARA LA GESTIÓN AMBIENTAL Y SOCIAL</t>
  </si>
  <si>
    <t>01_SUMINISTRO SISTEMAS DE CONTENCIÓN VIAL</t>
  </si>
  <si>
    <t>NUMERO DEL CONTRATO</t>
  </si>
  <si>
    <t>FECHA TÉRMINO</t>
  </si>
  <si>
    <t>02_ASESORÍAS Y/O CONSULTORÍAS GENERALES</t>
  </si>
  <si>
    <t>VALOR TOTAL DEL CONTRATO
(En la unidad Correspondiente)</t>
  </si>
  <si>
    <t>Categoría de Compras</t>
  </si>
  <si>
    <t>Centralizada</t>
  </si>
  <si>
    <t>Asistida</t>
  </si>
  <si>
    <t>Descentralizada</t>
  </si>
  <si>
    <t>N° y Nombre Categoría</t>
  </si>
  <si>
    <t>02_ASESORÍAS Y/O CONSULTORÍAS TÉCNICAS EN VÍAS</t>
  </si>
  <si>
    <t>Subcategoría</t>
  </si>
  <si>
    <t>02_DOTACIÓN</t>
  </si>
  <si>
    <t>OBJETO  Y ALCANCE :</t>
  </si>
  <si>
    <t>02_PARTES Y ACCESORIOS PARA EQUIPOS DE CÓMPUTO, SERVIDORES, REDES, BACKUP Y ALMACENAMIENTO</t>
  </si>
  <si>
    <t>02_SERVICIOS POSTALES Y DE MENSAJERÍA</t>
  </si>
  <si>
    <t>Suministro de Bienes y Servicios con HSE</t>
  </si>
  <si>
    <t>03_AUDITORÍAS</t>
  </si>
  <si>
    <t>03_CONSTRUCCIÓN DE ELEMENTOS DE DRENAJE SUBSUPERFICIAL</t>
  </si>
  <si>
    <t>03_FORMACIÓN</t>
  </si>
  <si>
    <t>03_MANTENIMIENTO DE EQUIPOS GENERALES</t>
  </si>
  <si>
    <t>ADMINISTRADOR DEL CONTRATO</t>
  </si>
  <si>
    <t>03_MANTENIMIENTO LOCATIVO</t>
  </si>
  <si>
    <t>04_CONSTRUCCIÓN, MANTENIMIENTO Y REPARACIÓN DE TALUDES</t>
  </si>
  <si>
    <r>
      <rPr>
        <b/>
        <sz val="10"/>
        <rFont val="Arial"/>
        <family val="2"/>
      </rPr>
      <t xml:space="preserve">Algunos de los bienes </t>
    </r>
    <r>
      <rPr>
        <sz val="10"/>
        <rFont val="Arial"/>
        <family val="2"/>
      </rPr>
      <t xml:space="preserve">recibidos a satisfacción presentaron problemas de funcionamiento después de la entrega, </t>
    </r>
    <r>
      <rPr>
        <b/>
        <sz val="10"/>
        <rFont val="Arial"/>
        <family val="2"/>
      </rPr>
      <t>pero NO fueron intervenidos</t>
    </r>
    <r>
      <rPr>
        <sz val="10"/>
        <rFont val="Arial"/>
        <family val="2"/>
      </rPr>
      <t xml:space="preserve"> oportunamente por el contratista.</t>
    </r>
    <r>
      <rPr>
        <b/>
        <sz val="10"/>
        <rFont val="Arial"/>
        <family val="2"/>
      </rPr>
      <t xml:space="preserve"> (y/o se incurran en faltas o incumplimientos asociados a las especificaciones de los bienes que de lugar a la apliación de una multa) </t>
    </r>
  </si>
  <si>
    <t>04_MATERIALES Y HERRAMIENTAS DE USO GENERAL</t>
  </si>
  <si>
    <r>
      <t>Calidad de los Bienes Suministrados: Co</t>
    </r>
    <r>
      <rPr>
        <sz val="10"/>
        <rFont val="Arial"/>
        <family val="2"/>
      </rPr>
      <t>operación</t>
    </r>
  </si>
  <si>
    <t>04_SERVICIOS DE GESTIÓN HUMANA</t>
  </si>
  <si>
    <t>04_SERVICIOS DE TELECOMUNICACIONES ADMINISTRATIVOS</t>
  </si>
  <si>
    <t>04_SERVICIOS JURÍDICOS</t>
  </si>
  <si>
    <r>
      <t xml:space="preserve">El servicio prestado </t>
    </r>
    <r>
      <rPr>
        <b/>
        <sz val="10"/>
        <rFont val="Arial"/>
        <family val="2"/>
      </rPr>
      <t>cumplió con todas</t>
    </r>
    <r>
      <rPr>
        <sz val="10"/>
        <rFont val="Arial"/>
        <family val="2"/>
      </rPr>
      <t xml:space="preserve"> las especificaciones y normas técnicas establecidas en el contrato.</t>
    </r>
  </si>
  <si>
    <t>05_GESTIÓN COMERCIAL RECAUDO ELECTRÓNICO Y TAG</t>
  </si>
  <si>
    <r>
      <t xml:space="preserve">El servicio prestado </t>
    </r>
    <r>
      <rPr>
        <b/>
        <sz val="10"/>
        <rFont val="Arial"/>
        <family val="2"/>
      </rPr>
      <t>tuvo algunos incumplimientos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y/o fallas menores</t>
    </r>
    <r>
      <rPr>
        <sz val="10"/>
        <rFont val="Arial"/>
        <family val="2"/>
      </rPr>
      <t>, asociadas al cumplimiento de las especificaciones y/o a las normas técnicas.</t>
    </r>
  </si>
  <si>
    <t>05_SOLUCIONES DE CIBERSEGURIDAD ESPECÍFICAS</t>
  </si>
  <si>
    <r>
      <t xml:space="preserve">El servicio prestado </t>
    </r>
    <r>
      <rPr>
        <b/>
        <sz val="10"/>
        <rFont val="Arial"/>
        <family val="2"/>
      </rPr>
      <t>tuvo incumplimientos y/o fallas graves</t>
    </r>
    <r>
      <rPr>
        <sz val="10"/>
        <rFont val="Arial"/>
        <family val="2"/>
      </rPr>
      <t xml:space="preserve">, asociadas al cumplimiento de las especificaciones y/o a las normas  técnicas. </t>
    </r>
    <r>
      <rPr>
        <b/>
        <sz val="10"/>
        <rFont val="Arial"/>
        <family val="2"/>
      </rPr>
      <t xml:space="preserve">(y/o se incurran en faltas o incumplimientos asociados a las especificaciones de los servicios que de lugar a la apliación de una multa) </t>
    </r>
  </si>
  <si>
    <t>05_SUMINISTROS GENERALES ADMINISTRATIVOS</t>
  </si>
  <si>
    <t>06_INSTALACIÓN Y REPARACIÓN SISTEMAS DE CONTENCIÓN VIAL</t>
  </si>
  <si>
    <t>06_SOLUCIONES DE CIBERSEGURIDAD HOMOLOGADAS PARA EL GRUPO</t>
  </si>
  <si>
    <r>
      <t xml:space="preserve">El personal asignado </t>
    </r>
    <r>
      <rPr>
        <b/>
        <sz val="10"/>
        <rFont val="Arial"/>
        <family val="2"/>
      </rPr>
      <t>no fue suficiente</t>
    </r>
    <r>
      <rPr>
        <sz val="10"/>
        <rFont val="Arial"/>
        <family val="2"/>
      </rPr>
      <t xml:space="preserve"> y/o no tenía las competencias necesarias para ejecutar todas las actividades del contrato, </t>
    </r>
    <r>
      <rPr>
        <b/>
        <sz val="10"/>
        <rFont val="Arial"/>
        <family val="2"/>
      </rPr>
      <t>situación que no fue subsanada</t>
    </r>
    <r>
      <rPr>
        <sz val="10"/>
        <rFont val="Arial"/>
        <family val="2"/>
      </rPr>
      <t xml:space="preserve">. </t>
    </r>
    <r>
      <rPr>
        <b/>
        <sz val="10"/>
        <rFont val="Arial"/>
        <family val="2"/>
      </rPr>
      <t xml:space="preserve">(y/o se incurran en faltas o incumplimientos asociados al desempeño del personal que ejecutó el servicio que de lugar a la apliación de una multa) </t>
    </r>
  </si>
  <si>
    <t>07_MANTENIMIENTO CALLES DE SERVICIO O ACCESOS GRANULARES</t>
  </si>
  <si>
    <r>
      <t xml:space="preserve">Calidad de los servicios prestados: </t>
    </r>
    <r>
      <rPr>
        <sz val="10"/>
        <rFont val="Arial"/>
        <family val="2"/>
      </rPr>
      <t>atención a los requerimientos</t>
    </r>
  </si>
  <si>
    <t>Cuando fue requerido, el contratista dispuso el personal  y / o los medios requeridos para atender la situación en el sitio requerido</t>
  </si>
  <si>
    <t>Los bienes No fueron entregados en la fecha programada, pero No genero</t>
  </si>
  <si>
    <t>07_SOLUCIONES DE CÓMPUTO PERSONAL</t>
  </si>
  <si>
    <t>En algunas de las ocasiones en las que fue requerido, el contratista dispuso el personal  y / o los medios requeridos para atender la situación en el sitio requerido</t>
  </si>
  <si>
    <t>07_VIGILANCIA</t>
  </si>
  <si>
    <r>
      <t>Cuando fue requerido, el contratista no dispuso el personal  y / o los medios requeridos para atender la situación en el sitio requerido.</t>
    </r>
    <r>
      <rPr>
        <b/>
        <sz val="10"/>
        <rFont val="Arial"/>
        <family val="2"/>
      </rPr>
      <t xml:space="preserve"> (y/o se incurran en faltas o incumplimientos asociados a la atención oportuna de los requerimientos que de lugar a la apliación de una multa) </t>
    </r>
  </si>
  <si>
    <t>08_MANTENIMIENTO DE PAVIMENTO DE HORMIGÓN</t>
  </si>
  <si>
    <r>
      <t xml:space="preserve">Oportunidad: </t>
    </r>
    <r>
      <rPr>
        <sz val="10"/>
        <rFont val="Arial"/>
        <family val="2"/>
      </rPr>
      <t>cumplimiento de los plazos programados</t>
    </r>
  </si>
  <si>
    <r>
      <t xml:space="preserve">Los bienes  fueron entregados/ los servicios  fueron prestados </t>
    </r>
    <r>
      <rPr>
        <b/>
        <sz val="10"/>
        <rFont val="Arial"/>
        <family val="2"/>
      </rPr>
      <t>en la fecha programada</t>
    </r>
    <r>
      <rPr>
        <sz val="10"/>
        <rFont val="Arial"/>
        <family val="2"/>
      </rPr>
      <t xml:space="preserve"> con el proveedor.</t>
    </r>
  </si>
  <si>
    <t>08_SOLUCIONES DE ERP Y SISTEMAS VINCULADOS</t>
  </si>
  <si>
    <r>
      <t xml:space="preserve">Los bienes </t>
    </r>
    <r>
      <rPr>
        <b/>
        <sz val="10"/>
        <rFont val="Arial"/>
        <family val="2"/>
      </rPr>
      <t>NO fueron entregados/</t>
    </r>
    <r>
      <rPr>
        <sz val="10"/>
        <rFont val="Arial"/>
        <family val="2"/>
      </rPr>
      <t xml:space="preserve"> los servicios</t>
    </r>
    <r>
      <rPr>
        <b/>
        <sz val="10"/>
        <rFont val="Arial"/>
        <family val="2"/>
      </rPr>
      <t xml:space="preserve"> No fueron prestados </t>
    </r>
    <r>
      <rPr>
        <sz val="10"/>
        <rFont val="Arial"/>
        <family val="2"/>
      </rPr>
      <t xml:space="preserve">en la fecha programada con el proveedor, pero </t>
    </r>
    <r>
      <rPr>
        <b/>
        <sz val="10"/>
        <rFont val="Arial"/>
        <family val="2"/>
      </rPr>
      <t>NO se generaron impactos negativos</t>
    </r>
    <r>
      <rPr>
        <sz val="10"/>
        <rFont val="Arial"/>
        <family val="2"/>
      </rPr>
      <t xml:space="preserve"> para el Mandante.</t>
    </r>
  </si>
  <si>
    <t>09_MANTENIMIENTO E INSUMOS EQUIPOS TÚNEL Y EQUIPOS DE EMERGENCIA</t>
  </si>
  <si>
    <r>
      <t>Los bienes</t>
    </r>
    <r>
      <rPr>
        <b/>
        <sz val="10"/>
        <rFont val="Arial"/>
        <family val="2"/>
      </rPr>
      <t xml:space="preserve"> NO fueron entregados</t>
    </r>
    <r>
      <rPr>
        <sz val="10"/>
        <rFont val="Arial"/>
        <family val="2"/>
      </rPr>
      <t xml:space="preserve">/ los servicios </t>
    </r>
    <r>
      <rPr>
        <b/>
        <sz val="10"/>
        <rFont val="Arial"/>
        <family val="2"/>
      </rPr>
      <t>No fueron prestados</t>
    </r>
    <r>
      <rPr>
        <sz val="10"/>
        <rFont val="Arial"/>
        <family val="2"/>
      </rPr>
      <t xml:space="preserve"> en la fecha programada con el proveedor y como consecuencia </t>
    </r>
    <r>
      <rPr>
        <b/>
        <sz val="10"/>
        <rFont val="Arial"/>
        <family val="2"/>
      </rPr>
      <t xml:space="preserve">se generaron impactos negativos </t>
    </r>
    <r>
      <rPr>
        <sz val="10"/>
        <rFont val="Arial"/>
        <family val="2"/>
      </rPr>
      <t xml:space="preserve">para Iel Mandante.  </t>
    </r>
    <r>
      <rPr>
        <b/>
        <sz val="10"/>
        <rFont val="Arial"/>
        <family val="2"/>
      </rPr>
      <t xml:space="preserve">(y/o se incurran en faltas o incumplimientos asociados a los plazos programados de los bienes que de lugar a la apliación de una multa) </t>
    </r>
  </si>
  <si>
    <t>09_SOLUCIONES DE SERVIDORES, BACKUP Y ALMACENAMIENTO</t>
  </si>
  <si>
    <t>Prevención de Riesgos y Medioambiente</t>
  </si>
  <si>
    <t xml:space="preserve">El contratista durante la ejecución del contrato cumplió con los temas administrativos y de terreno de Seguridad y Salud en el Trabajo (carpetas de arranque, procedimientos, MIPER, entrega de información, respuesta de inspecciones en terreno, etc.) en acuerdo a todas las actividades del objeto del contrato y el reglamento especial de empresas contratistas vigente. 
Nota: Si por cualquier causa o motivo se presenta algún accidente grave o mortal aunque el contratista haya cumplido a cavalidad lo antes mencionado su nota total será 0. </t>
  </si>
  <si>
    <t>ADMINISTRADOR DEL CONTRATO / JEFE PREVENCIÓN DE RIESGOS</t>
  </si>
  <si>
    <t>10_MANTENIMIENTO E INSUMOS SISTEMA DE PEAJES Y OTROS EQUIPOS</t>
  </si>
  <si>
    <t>El contratista durante la ejecución del contrato presento algunos incumplimientos con los temas administrativos y de terreno de Seguridad y Salud en el Trabajo (carpetas de arranque, procedimientos, MIPER, entrega de información, respuesta de inspecciones etc.) en acuerdo a todas las actividades del objeto del contrato y el reglamento especial de empresas contratistas vigente.</t>
  </si>
  <si>
    <t>10_SOLUCIONES DE TELEFONÍA MÓVIL</t>
  </si>
  <si>
    <r>
      <t xml:space="preserve">El contratista durante la ejecución del contrato presento incumplimientos reiterativos con temas administrativos y de terreno de Seguridad y Salud en el Trabajo (carpetas de arranque, procedimientos, MIPER, entrega de información, respuesta de inspecciones etc.), </t>
    </r>
    <r>
      <rPr>
        <b/>
        <sz val="10"/>
        <rFont val="Arial"/>
        <family val="2"/>
      </rPr>
      <t xml:space="preserve">o se presentaron accidentes graves o mortales derivados de una deficiente administracion y gestion de los riesgos, y/o se incurrieron en faltas o incumplimientos asociados a medidas de control, procedimientos de trabajos, capacitación, normas y todo lo inherente a la seguridad y salud en el trabajo que de lugar a la apliación de una multa </t>
    </r>
    <r>
      <rPr>
        <sz val="10"/>
        <rFont val="Arial"/>
        <family val="2"/>
      </rPr>
      <t>en acuerdo a todas las actividades del objeto del contrato y el reglamento especial de empresas contratistas vigente.</t>
    </r>
  </si>
  <si>
    <t>11_MANTENIMIENTO MAYOR EN ESTRUCTURAS Y CAUCES</t>
  </si>
  <si>
    <r>
      <t xml:space="preserve">El contratista </t>
    </r>
    <r>
      <rPr>
        <b/>
        <sz val="10"/>
        <rFont val="Arial"/>
        <family val="2"/>
      </rPr>
      <t>cumple</t>
    </r>
    <r>
      <rPr>
        <sz val="10"/>
        <rFont val="Arial"/>
        <family val="2"/>
      </rPr>
      <t xml:space="preserve"> con todas las exigencias MedioAmnbientales Exigidas por el Mandante.</t>
    </r>
  </si>
  <si>
    <t>11_SOLUCIONES SOFTWARE COMERCIALES (NO VINCULADAS A ERP NI A PLATAFORMA BASE Y DE PRODUCTIVIDAD)</t>
  </si>
  <si>
    <r>
      <t xml:space="preserve">El contratista </t>
    </r>
    <r>
      <rPr>
        <b/>
        <sz val="10"/>
        <rFont val="Arial"/>
        <family val="2"/>
      </rPr>
      <t xml:space="preserve">presento incumplimientos </t>
    </r>
    <r>
      <rPr>
        <sz val="10"/>
        <rFont val="Arial"/>
        <family val="2"/>
      </rPr>
      <t xml:space="preserve">de las Exigencias Medio Ambientales, durante la ejecucion del contrato. </t>
    </r>
    <r>
      <rPr>
        <b/>
        <sz val="10"/>
        <rFont val="Arial"/>
        <family val="2"/>
      </rPr>
      <t>Corrigio y gestiono adecuadamente y oportunamente los Impactos Ambientales</t>
    </r>
  </si>
  <si>
    <t>12_MANTENIMIENTO PAVIMENTOS Y BERMAS DE ASFALTO</t>
  </si>
  <si>
    <r>
      <t xml:space="preserve">El contratista </t>
    </r>
    <r>
      <rPr>
        <b/>
        <sz val="10"/>
        <rFont val="Arial"/>
        <family val="2"/>
      </rPr>
      <t>presento incumplimientos</t>
    </r>
    <r>
      <rPr>
        <sz val="10"/>
        <rFont val="Arial"/>
        <family val="2"/>
      </rPr>
      <t xml:space="preserve"> de las Exigencias Medio Ambientales. </t>
    </r>
    <r>
      <rPr>
        <b/>
        <sz val="10"/>
        <rFont val="Arial"/>
        <family val="2"/>
      </rPr>
      <t>Generando impactos ambientales significativos y consecuencias para el Mandante como multas, sanciones, afectación de reputación, entre otras.</t>
    </r>
  </si>
  <si>
    <t>12_SOLUCIONES TECNOLÓGICAS ESTÁNDAR DE PLATAFORMA BASE Y DE PRODUCTIVIDAD</t>
  </si>
  <si>
    <r>
      <t xml:space="preserve">El tiempo de entrega al Mandante de las Pólizas y demás documentos para dar la Orden de Inicio, fue </t>
    </r>
    <r>
      <rPr>
        <b/>
        <sz val="10"/>
        <rFont val="Arial"/>
        <family val="2"/>
      </rPr>
      <t xml:space="preserve">menor o igual </t>
    </r>
    <r>
      <rPr>
        <sz val="10"/>
        <rFont val="Arial"/>
        <family val="2"/>
      </rPr>
      <t>al tiempo establecido en el Contrato.</t>
    </r>
  </si>
  <si>
    <t>ADMINISTRADOR DEL CONTRATO / COMPRADOR</t>
  </si>
  <si>
    <t>13_MANTENIMIENTO Y REPOSICIÓN DE SEÑALIZACIÓN HORIZONTAL Y VERTICAL</t>
  </si>
  <si>
    <r>
      <t xml:space="preserve">El tiempo de entrega al Mandante de las Pólizas y demás documentos para dar la Orden de Inicio, fue </t>
    </r>
    <r>
      <rPr>
        <b/>
        <sz val="10"/>
        <rFont val="Arial"/>
        <family val="2"/>
      </rPr>
      <t>mayor</t>
    </r>
    <r>
      <rPr>
        <sz val="10"/>
        <rFont val="Arial"/>
        <family val="2"/>
      </rPr>
      <t xml:space="preserve"> al tiempo establecido en el Contrato.</t>
    </r>
  </si>
  <si>
    <t>13_SOPORTE Y MANTENIMIENTO DE INFRAESTRUCTURA TECNOLÓGICA</t>
  </si>
  <si>
    <t xml:space="preserve">ADMINISTRADOR DEL CONTRATO </t>
  </si>
  <si>
    <t>Los bienes No fueron entregados en la fecha programada, pero Si</t>
  </si>
  <si>
    <t>14_PAISAJISMO, MANTENIMIENTO FAJA Y MANTENIMIENTO DE ELEMENTOS DE DRENAJE SUPERFICIAL</t>
  </si>
  <si>
    <t>14_SOPORTE Y MANTENIMIENTO DE SOLUCIONES TECNOLÓGICAS NO VINCULADAS AL ERP</t>
  </si>
  <si>
    <r>
      <rPr>
        <b/>
        <sz val="10"/>
        <rFont val="Arial"/>
        <family val="2"/>
      </rPr>
      <t>Algunas facturas y sus soportes</t>
    </r>
    <r>
      <rPr>
        <sz val="10"/>
        <rFont val="Arial"/>
        <family val="2"/>
      </rPr>
      <t xml:space="preserve">, la documentación contractual requerida durante la ejecución (informes, certificados, constancias, licencias, etc) y/o la documentación postcontractual (manuales, protocolos de pruebas, información técnica, etc) </t>
    </r>
    <r>
      <rPr>
        <b/>
        <sz val="10"/>
        <rFont val="Arial"/>
        <family val="2"/>
      </rPr>
      <t>NO fueron entregadas de acuerdo con lo programado y con errores</t>
    </r>
    <r>
      <rPr>
        <sz val="10"/>
        <rFont val="Arial"/>
        <family val="2"/>
      </rPr>
      <t xml:space="preserve">.  </t>
    </r>
    <r>
      <rPr>
        <b/>
        <sz val="10"/>
        <rFont val="Arial"/>
        <family val="2"/>
      </rPr>
      <t xml:space="preserve">(y/o se incurran en faltas o incumplimientos asociados a toda la documentación contractual que de lugar a la apliación de una multa) </t>
    </r>
  </si>
  <si>
    <t>15_SELLOS DE JUNTAS Y GRIETAS DE PAVIMENTOS</t>
  </si>
  <si>
    <t>El contratista incurrió en faltas al código de ética</t>
  </si>
  <si>
    <t>15_SOPORTE Y MANTENIMIENTO ERP Y SOLUCIONES TECNOLÓGICAS VINCULADAS DEL MISMO FABRICANTE</t>
  </si>
  <si>
    <t>16_SERVICIO DE PEAJISTAS Y TRANSPORTE DE DINERO</t>
  </si>
  <si>
    <t>17_SERVICIO DE PESAJE Y CONTEO DE TRÁFICO</t>
  </si>
  <si>
    <t>Obeservaciones generales u observaciones en caso de que se haya incurrido en un subcriterio que implique multa (detallar alcance) .</t>
  </si>
  <si>
    <t>18_SERVICIOS DE ATENCIÓN A USUARIOS</t>
  </si>
  <si>
    <t xml:space="preserve">7. RESPONSABLE DE LA EVALUACIÓN </t>
  </si>
  <si>
    <t>8. JEFE DIRECTO DEL EVALUADOR</t>
  </si>
  <si>
    <t xml:space="preserve">NOMBRE: </t>
  </si>
  <si>
    <t xml:space="preserve">AREA: </t>
  </si>
  <si>
    <t>Categorías</t>
  </si>
  <si>
    <t>402010001_BACHEO MANTENIMIENTO RUTINARIO</t>
  </si>
  <si>
    <t>101010006_ALQUILER DE VEHÍCULOS</t>
  </si>
  <si>
    <t>103010001_ASEO Y CAFETERÍA</t>
  </si>
  <si>
    <t>111010003_SERVICIOS DE RECREACIÓN Y DEPORTE</t>
  </si>
  <si>
    <t>112010001_DESARROLLO DE SOFTWARE</t>
  </si>
  <si>
    <t xml:space="preserve">106010002_AVISOS Y PUBLICACIONES </t>
  </si>
  <si>
    <t>108010001_ADMINISTRACIÓN DOCUMENTAL</t>
  </si>
  <si>
    <t>109010003_ASESORÍAS Y/O CONSULTORÍAS EN SERVICIOS FINANCIEROS</t>
  </si>
  <si>
    <t>113010001_ELABORACIÓN DE ESTUDIOS AMBIENTALES</t>
  </si>
  <si>
    <t>401010001_SUMINISTRO SISTEMAS DE CONTENCIÓN VIAL</t>
  </si>
  <si>
    <t>110020006_ASESORÍAS Y/O CONSULTORÍAS EN TECNOLOGÍA COMUNES O ESPECIALIZADAS</t>
  </si>
  <si>
    <t>402020001_ESTUDIOS Y PROYECTOS VIALES</t>
  </si>
  <si>
    <t>111020001_UNIFORMES DE DOTACIÓN</t>
  </si>
  <si>
    <t>112020001_PARTES Y ACCESORIOS PARA EQUIPOS DE CÓMPUTO, SERVIDORES, REDES, BACKUP Y ALMACENAMIENTO</t>
  </si>
  <si>
    <t>108020003_SERVICIO DE MENSAJERÍA</t>
  </si>
  <si>
    <t>110030004_AUDITORÍAS INTERNAS</t>
  </si>
  <si>
    <t>402030001_DRENES Y SUBDRENES</t>
  </si>
  <si>
    <t>111030001_ELABORACIÓN DE CURSOS VIRTUALES</t>
  </si>
  <si>
    <t>101030005_MANTENIMIENTO EQUIPOS PARA USO EN INFRAESTRUCTURA Y ZONAS COMUNES</t>
  </si>
  <si>
    <t>103030005_MANTENIMIENTO ELÉCTRICO</t>
  </si>
  <si>
    <t>402040001_CONTENCIÓN TALUDES</t>
  </si>
  <si>
    <t>101040004_COMBUSTIBLES</t>
  </si>
  <si>
    <t>111040007_MEDICIONES DE GESTIÓN HUMANA</t>
  </si>
  <si>
    <t>112040001_SERVICIOS DE TELECOMUNICACIONES ADMINISTRATIVOS</t>
  </si>
  <si>
    <t xml:space="preserve">110040001_ASESORÍA JURÍDICA Y REGULATORIA </t>
  </si>
  <si>
    <t>402050001_COBRANZA MEDIOS DE PAGO ELECTRÓNICOS</t>
  </si>
  <si>
    <t>112050001_SOLUCIONES DE CIBERSEGURIDAD ESPECÍFICAS</t>
  </si>
  <si>
    <t>101050001_AGUA POTABLE PARA SEDES Y SUBESTACIONES</t>
  </si>
  <si>
    <t>402060001_INSTALACIÓN Y REPARACIÓN SISTEMAS DE CONTENCIÓN VIAL</t>
  </si>
  <si>
    <t>112060001_SOLUCIONES DE CIBERSEGURIDAD HOMOLOGADAS PARA EL GRUPO</t>
  </si>
  <si>
    <t>402070001_MANTENIMIENTO CALLES DE SERVICIO O ACCESOS GRANULARES</t>
  </si>
  <si>
    <t>112070001_SOLUCIONES DE CÓMPUTO PERSONAL</t>
  </si>
  <si>
    <t>103070002_SERVICIO DE VIGILANCIA Y SEGURIDAD</t>
  </si>
  <si>
    <t>402080001_CEPILLADO PAVIMENTOS</t>
  </si>
  <si>
    <t>112080001_SOLUCIONES DE ERP Y SISTEMAS VINCULADOS</t>
  </si>
  <si>
    <t>402090001_ACTUALIZACIÓN SOFTWARE TÚNEL</t>
  </si>
  <si>
    <t>112090001_SOLUCIONES DE SERVIDORES, BACKUP Y ALMACENAMIENTO</t>
  </si>
  <si>
    <t>402100002_IMPRESIÓN BOLETOS DE PEAJES</t>
  </si>
  <si>
    <t>112100001_SOLUCIONES DE TELEFONÍA MÓVIL</t>
  </si>
  <si>
    <t>402110001_DRENAJE PUENTES</t>
  </si>
  <si>
    <t>112110002_SOLUCIONES DE SOFTWARE GENÉRICO</t>
  </si>
  <si>
    <t>402120001_BACHEO MANTENIMIENTO MAYOR</t>
  </si>
  <si>
    <t>112120001_SOLUCIONES TECNOLÓGICAS ESTÁNDAR DE PLATAFORMA BASE Y DE PRODUCTIVIDAD</t>
  </si>
  <si>
    <t>402130001_DEMARCACIÓN PAVIMENTO</t>
  </si>
  <si>
    <t>112130001_SOPORTE Y MANTENIMIENTO DE INFRAESTRUCTURA TECNOLÓGICA</t>
  </si>
  <si>
    <t>402140001_ELEMENTOS DE DRENAJE</t>
  </si>
  <si>
    <t>112140001_SOPORTE Y MANTENIMIENTO DE SOLUCIONES TECNOLÓGICAS NO VINCULADAS AL ERP</t>
  </si>
  <si>
    <t>402150001_SELLO DE JUNTAS Y GRIETAS</t>
  </si>
  <si>
    <t>112150001_SOPORTE Y MANTENIMIENTO ERP Y SOLUCIONES TECNOLÓGICAS VINCULADAS DEL MISMO FABRICANTE</t>
  </si>
  <si>
    <t>402160001_SERVICIO TRANSPORTE DE DINERO</t>
  </si>
  <si>
    <t>402170002_SERVICIO CONTEO DE TRÁFICO</t>
  </si>
  <si>
    <t>402180001_SERVICIO CHOFER PARAMÉDICOS</t>
  </si>
  <si>
    <t>402010002_BARRERAS NEW JERSEY</t>
  </si>
  <si>
    <t>103010003_SERVICIO DE ALIMENTACIÓN</t>
  </si>
  <si>
    <t>106010004_DISEÑO E IMPRESIÓN DIGITAL</t>
  </si>
  <si>
    <t>108010008_SERVICIOS DE IMPRESIÓN Y REPROGRAFÍA</t>
  </si>
  <si>
    <t>109010007_SERVICIO DE ASEGURAMIENTO</t>
  </si>
  <si>
    <t>110020007_ASESORÍAS Y/O CONSULTORÍAS ESTRATÉGICAS</t>
  </si>
  <si>
    <t>111030002_EVENTOS DE FORMACIÓN</t>
  </si>
  <si>
    <t>101030009_MANTENIMIENTO VEHÍCULOS</t>
  </si>
  <si>
    <t>103030006_MANTENIMIENTO LOCATIVO GENERAL (TECHOS, PAREDES, PINTURA, JARDINES, ETC)</t>
  </si>
  <si>
    <t xml:space="preserve">110040005_SERVICIOS NOTARIALES </t>
  </si>
  <si>
    <t>402050002_OFICINAS COMERCIALES</t>
  </si>
  <si>
    <t>101050007_ÚTILES DE ESCRITORIO Y PAPELERÍA</t>
  </si>
  <si>
    <t>402080002_ESTABILIZACIÓN LOSAS</t>
  </si>
  <si>
    <t>402090002_MANTENIMIENTO EQUIPOS DE EMERGENCIA</t>
  </si>
  <si>
    <t>402100003_INSUMOS MANTENIMIENTO Y REPARACIÓN DE POSTES SOS</t>
  </si>
  <si>
    <t>402110002_JUNTAS EXPANSIÓN</t>
  </si>
  <si>
    <t>402120002_FRESADO Y MICROFRESADO CARPETA ASFÁLTICA</t>
  </si>
  <si>
    <t>402130002_REMOCIÓN E INSTALACIÓN DE SEÑALES</t>
  </si>
  <si>
    <t>402140002_LIMPIEZA Y ROCE</t>
  </si>
  <si>
    <t>402160002_SERVICIOS DE PEAJISTAS</t>
  </si>
  <si>
    <t>402170003_SERVICIO DE PESAJE</t>
  </si>
  <si>
    <t>402180002_SERVICIO AMBULANCIA</t>
  </si>
  <si>
    <t>402010003_CERCOS METÁLICOS Y MALLAS CIERRO</t>
  </si>
  <si>
    <t>106010005_DISEÑO Y GESTIÓN DE ESTRATEGIAS DE COMUNICACIÓN</t>
  </si>
  <si>
    <t>109010008_SERVICIO DE INTERMEDIACIÓN DE SEGUROS</t>
  </si>
  <si>
    <t>402050004_SERVICIO MEDIOS DE PAGO ELECTRÓNICOS</t>
  </si>
  <si>
    <t>402080003_REEMPLAZO DE LOSAS DE HORMIGÓN RÍGIDO</t>
  </si>
  <si>
    <t>402090003_MANTENIMIENTO SISTEMAS DE EQUIPOS CONTROL</t>
  </si>
  <si>
    <t>402100004_MANTENIMIENTO DE PANELES DE MENSAJERÍA VARIABLE</t>
  </si>
  <si>
    <t>402110003_MANTENIMIENTO BARANDAS</t>
  </si>
  <si>
    <t>402120003_MANTENIMIENTO CARPETA RODADURA</t>
  </si>
  <si>
    <t>402130003_TACHAS Y TACHONES REFLECTANTES</t>
  </si>
  <si>
    <t>402140003_PAISAJISMO</t>
  </si>
  <si>
    <t>402180004_SERVICIO GRÚAS</t>
  </si>
  <si>
    <t>402010004_CONTROL HIELOS PAVIMENTO</t>
  </si>
  <si>
    <t>106010007_ELABORACIÓN DE PIEZAS COMUNICACIONALES</t>
  </si>
  <si>
    <t>402080004_REPARACIÓN DE ESPESOR PARCIAL O RODADURA</t>
  </si>
  <si>
    <t>402090004_MANTENIMIENTO SISTEMAS DE EQUIPOS ELÉCTRICOS</t>
  </si>
  <si>
    <t>402100006_MANTENIMIENTO EQUIPOS Y TECNOLOGÍAS DE RUTA</t>
  </si>
  <si>
    <t>402110004_MANTENIMIENTO CAUCES</t>
  </si>
  <si>
    <t>402120004_MANTENIMIENTO MAYOR BERMAS</t>
  </si>
  <si>
    <t>402140004_RETIRO BASURA Y ESCOMBROS</t>
  </si>
  <si>
    <t>402180005_SERVICIO PATRULLAS, VIGILANCIA E INSPECCIÓN DE TRÁFICO</t>
  </si>
  <si>
    <t>402010006_EVENTOS SEGURIDAD VIAL</t>
  </si>
  <si>
    <t>106010008_ENCUESTAS</t>
  </si>
  <si>
    <t>402090005_MANTENIMIENTO SISTEMAS DE VENTILADORES</t>
  </si>
  <si>
    <t>402100007_MANTENIMIENTO RUTINARIO DE POSTES SOS</t>
  </si>
  <si>
    <t>402110005_MANTENIMIENTO PAVIMENTOS PUENTES Y ESTRUCTURAS</t>
  </si>
  <si>
    <t>402120005_MANTENIMIENTO MAYOR CALLES DE SERVICIO O ACCESOS</t>
  </si>
  <si>
    <t>402140005_SANEAMIENTO</t>
  </si>
  <si>
    <t>402010007_MANTENIMIENTO  PANTALLAS ACÚSTICAS</t>
  </si>
  <si>
    <t>402090006_RECAMBIO EQUIPOS DE CONTROL E INFORMACIÓN TÚNEL</t>
  </si>
  <si>
    <t>402100008_MANTENIMIENTO RUTINARIO DE SISTEMAS DE CCTV</t>
  </si>
  <si>
    <t>402120006_MICROAGLOMERADOS</t>
  </si>
  <si>
    <t>402010009_MANTENIMIENTO PARADEROS DE BUSES</t>
  </si>
  <si>
    <t>402090007_RECAMBIO EQUIPOS ELÉCTRICOS TÚNEL</t>
  </si>
  <si>
    <t>402100009_MANTENIMIENTO RUTINARIO DE SISTEMAS DE PEAJES</t>
  </si>
  <si>
    <t>402120007_SUMINISTRO Y COLOCACIÓN MEZCLA ASFÁLTICA CALIENTE</t>
  </si>
  <si>
    <t>402010010_MANTENIMIENTO PLAZAS DE PEAJE</t>
  </si>
  <si>
    <t>402090008_RECAMBIO GENERADOR PLAZAS PEAJE O TÚNEL</t>
  </si>
  <si>
    <t>402100011_RECAMBIO MAYOR PANELES DE MENSAJERÍA VARIABLE</t>
  </si>
  <si>
    <t>402010011_MANTENIMIENTO RUTINARIO DE BERMAS</t>
  </si>
  <si>
    <t>402090009_RECAMBIO SERVIDORES SISTEMAS TÚNEL</t>
  </si>
  <si>
    <t>402100014_RECAMBIO MAYOR VÍAS SISTEMAS DE PEAJE</t>
  </si>
  <si>
    <t>402010012_MANTENIMIENTO RUTINARIO PAVIMENTOS</t>
  </si>
  <si>
    <t>402090010_RECAMBIO SISTEMAS ILUMINACIÓN TÚNEL</t>
  </si>
  <si>
    <t>402100015_RECAMBIO SERVIDORES SISTEMAS DE PEAJE</t>
  </si>
  <si>
    <t>402010013_MANTENIMIENTO RUTINARIO SEÑALES</t>
  </si>
  <si>
    <t>402090011_RECAMBIO TABLEROS ELÉCTRICOS TÚNEL</t>
  </si>
  <si>
    <t>402100016_RENOVACIÓN TECNOLÓGICA DE SISTEMAS DE PEAJES</t>
  </si>
  <si>
    <t>402010014_REPOSICIÓN DE PARADEROS DE BUSES</t>
  </si>
  <si>
    <t>402090012_RECAMBIO VENTILADORES TÚNEL</t>
  </si>
  <si>
    <t>402100017_REPUESTOS E INSUMOS PARA EQUIPOS DE PEAJES Y TECNOLOGÍAS DE RUTA</t>
  </si>
  <si>
    <t>402010015_RETIRO Y BORRADO PROPAGANDA</t>
  </si>
  <si>
    <t>402100018_SOFTWARE SISTEMAS DE COBRO</t>
  </si>
  <si>
    <t>402100019_TAG</t>
  </si>
  <si>
    <t>402100020_TARJETA SIN CONTACTO</t>
  </si>
  <si>
    <t>Bienes y Servicios</t>
  </si>
  <si>
    <t>Respuesta</t>
  </si>
  <si>
    <t>Puntos posibles</t>
  </si>
  <si>
    <t>Calificación</t>
  </si>
  <si>
    <t>Calidad de los Bienes Suministrados: cumplimiento especificaciones</t>
  </si>
  <si>
    <t>Calidad de los Bienes Suministrados: Cooperación</t>
  </si>
  <si>
    <t>Calidad de los Servicios Prestados: cumplimiento de especificaciones</t>
  </si>
  <si>
    <t>Calidad de los Servicios Prestados: Personal que ejecutó el Servicio.</t>
  </si>
  <si>
    <t>Calidad de los servicios prestados: atención a los requerimientos</t>
  </si>
  <si>
    <t>Oportunidad: cumplimiento de los plazos programados</t>
  </si>
  <si>
    <t>Ética</t>
  </si>
  <si>
    <t>Total</t>
  </si>
  <si>
    <t>¿HSE?</t>
  </si>
  <si>
    <t>Con HSE</t>
  </si>
  <si>
    <t>Sin HSE</t>
  </si>
  <si>
    <t>Calificación posible</t>
  </si>
  <si>
    <t>Calificación obtenida</t>
  </si>
  <si>
    <t>Servicios</t>
  </si>
  <si>
    <t>Calidad de los servicios prestados:  atención a los requerimientos</t>
  </si>
  <si>
    <t>Oportunidad: cumplimiento de los plazos</t>
  </si>
  <si>
    <t>Etica</t>
  </si>
  <si>
    <t>Bienes</t>
  </si>
  <si>
    <t>Calidad de los Bienes Suministrados: cooperación</t>
  </si>
  <si>
    <t>Oportunidad: cumplimiento de fechas /cantidades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</si>
</sst>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27" x14ac:knownFonts="1">
    <font>
      <sz val="11"/>
      <color theme="1"/>
      <name val="Helvetica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theme="0"/>
      <name val="Helvetica"/>
      <family val="2"/>
      <scheme val="minor"/>
    </font>
    <font>
      <sz val="11"/>
      <name val="Arial"/>
      <family val="2"/>
    </font>
    <font>
      <sz val="11"/>
      <color theme="1"/>
      <name val="Helvetica"/>
      <family val="2"/>
      <scheme val="minor"/>
    </font>
    <font>
      <sz val="6"/>
      <name val="Arial"/>
      <family val="2"/>
    </font>
    <font>
      <sz val="11"/>
      <name val="Helvetica"/>
      <family val="2"/>
      <scheme val="minor"/>
    </font>
    <font>
      <b/>
      <sz val="11"/>
      <name val="Helvetica"/>
      <family val="2"/>
      <scheme val="minor"/>
    </font>
    <font>
      <b/>
      <sz val="11"/>
      <name val="Helvetica"/>
      <scheme val="minor"/>
    </font>
    <font>
      <b/>
      <sz val="11"/>
      <color theme="1"/>
      <name val="Helvetica"/>
      <scheme val="minor"/>
    </font>
    <font>
      <sz val="24"/>
      <name val="Helvetica"/>
      <family val="2"/>
      <scheme val="minor"/>
    </font>
    <font>
      <sz val="26"/>
      <name val="Helvetica"/>
      <family val="2"/>
      <scheme val="minor"/>
    </font>
    <font>
      <sz val="11"/>
      <name val="Helvetica"/>
      <scheme val="minor"/>
    </font>
    <font>
      <b/>
      <sz val="9"/>
      <color indexed="81"/>
      <name val="Tahoma"/>
      <family val="2"/>
    </font>
    <font>
      <b/>
      <sz val="9"/>
      <name val="Arial"/>
      <family val="2"/>
    </font>
    <font>
      <b/>
      <sz val="24"/>
      <name val="Arial"/>
      <family val="2"/>
    </font>
    <font>
      <sz val="20"/>
      <name val="Helvetica"/>
      <family val="2"/>
      <scheme val="minor"/>
    </font>
    <font>
      <b/>
      <sz val="11"/>
      <color theme="0"/>
      <name val="Helvetica"/>
      <family val="2"/>
      <scheme val="minor"/>
    </font>
    <font>
      <sz val="11"/>
      <color rgb="FFFF0000"/>
      <name val="Helvetica"/>
      <family val="2"/>
      <scheme val="minor"/>
    </font>
    <font>
      <b/>
      <sz val="11"/>
      <color rgb="FFFF0000"/>
      <name val="Helvetica"/>
      <family val="2"/>
      <scheme val="minor"/>
    </font>
    <font>
      <sz val="10"/>
      <name val="Helvetica"/>
      <family val="2"/>
      <scheme val="minor"/>
    </font>
    <font>
      <sz val="9"/>
      <color theme="4"/>
      <name val="Calibri"/>
      <family val="2"/>
    </font>
    <font>
      <u/>
      <sz val="11"/>
      <color theme="10"/>
      <name val="Helvetica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9999084444715716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45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 wrapText="1"/>
    </xf>
    <xf numFmtId="1" fontId="1" fillId="0" borderId="38" xfId="0" applyNumberFormat="1" applyFont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1" fontId="3" fillId="0" borderId="54" xfId="0" applyNumberFormat="1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" fontId="10" fillId="0" borderId="1" xfId="0" applyNumberFormat="1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1" fillId="0" borderId="15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0" fillId="7" borderId="1" xfId="2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0" fillId="0" borderId="32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67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1" fontId="7" fillId="0" borderId="26" xfId="0" applyNumberFormat="1" applyFont="1" applyBorder="1" applyAlignment="1">
      <alignment horizontal="center" vertical="center" wrapText="1"/>
    </xf>
    <xf numFmtId="1" fontId="10" fillId="0" borderId="26" xfId="0" applyNumberFormat="1" applyFont="1" applyBorder="1" applyAlignment="1">
      <alignment horizontal="center" vertical="center" wrapText="1"/>
    </xf>
    <xf numFmtId="0" fontId="10" fillId="7" borderId="36" xfId="2" applyFont="1" applyBorder="1" applyAlignment="1">
      <alignment horizontal="center"/>
    </xf>
    <xf numFmtId="1" fontId="10" fillId="0" borderId="54" xfId="0" applyNumberFormat="1" applyFont="1" applyBorder="1" applyAlignment="1">
      <alignment horizontal="center" vertical="center" wrapText="1"/>
    </xf>
    <xf numFmtId="0" fontId="10" fillId="0" borderId="38" xfId="0" applyFont="1" applyBorder="1" applyAlignment="1" applyProtection="1">
      <alignment horizontal="center" vertical="center" wrapText="1"/>
      <protection locked="0"/>
    </xf>
    <xf numFmtId="0" fontId="9" fillId="0" borderId="52" xfId="0" applyFont="1" applyBorder="1" applyAlignment="1">
      <alignment horizontal="center" vertical="center" wrapText="1"/>
    </xf>
    <xf numFmtId="1" fontId="10" fillId="0" borderId="53" xfId="0" applyNumberFormat="1" applyFont="1" applyBorder="1" applyAlignment="1">
      <alignment horizontal="center" vertical="center" wrapText="1"/>
    </xf>
    <xf numFmtId="1" fontId="10" fillId="0" borderId="36" xfId="0" applyNumberFormat="1" applyFont="1" applyBorder="1" applyAlignment="1">
      <alignment horizontal="center" vertical="center" wrapText="1"/>
    </xf>
    <xf numFmtId="1" fontId="10" fillId="0" borderId="34" xfId="0" applyNumberFormat="1" applyFont="1" applyBorder="1" applyAlignment="1">
      <alignment horizontal="center" vertical="center" wrapText="1"/>
    </xf>
    <xf numFmtId="1" fontId="10" fillId="0" borderId="33" xfId="0" applyNumberFormat="1" applyFont="1" applyBorder="1" applyAlignment="1">
      <alignment horizontal="center" vertical="center" wrapText="1"/>
    </xf>
    <xf numFmtId="1" fontId="10" fillId="0" borderId="68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8" xfId="0" applyFont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/>
    </xf>
    <xf numFmtId="0" fontId="10" fillId="3" borderId="1" xfId="2" applyFont="1" applyFill="1" applyBorder="1" applyAlignment="1">
      <alignment vertical="center"/>
    </xf>
    <xf numFmtId="0" fontId="10" fillId="3" borderId="1" xfId="3" applyFont="1" applyFill="1" applyBorder="1"/>
    <xf numFmtId="0" fontId="12" fillId="9" borderId="36" xfId="4" applyFont="1" applyBorder="1" applyAlignment="1">
      <alignment horizontal="center" vertical="center"/>
    </xf>
    <xf numFmtId="0" fontId="12" fillId="7" borderId="36" xfId="2" applyFont="1" applyBorder="1" applyAlignment="1">
      <alignment horizontal="center" vertical="center"/>
    </xf>
    <xf numFmtId="0" fontId="10" fillId="9" borderId="36" xfId="4" applyFont="1" applyBorder="1" applyAlignment="1">
      <alignment horizontal="center"/>
    </xf>
    <xf numFmtId="0" fontId="10" fillId="9" borderId="1" xfId="4" applyFont="1" applyBorder="1" applyAlignment="1">
      <alignment horizontal="center"/>
    </xf>
    <xf numFmtId="0" fontId="12" fillId="10" borderId="36" xfId="5" applyFont="1" applyBorder="1" applyAlignment="1">
      <alignment horizontal="center"/>
    </xf>
    <xf numFmtId="0" fontId="10" fillId="0" borderId="43" xfId="0" applyFont="1" applyBorder="1"/>
    <xf numFmtId="1" fontId="10" fillId="0" borderId="1" xfId="0" applyNumberFormat="1" applyFont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10" fillId="3" borderId="54" xfId="0" applyNumberFormat="1" applyFont="1" applyFill="1" applyBorder="1" applyAlignment="1">
      <alignment horizontal="center" vertical="center" wrapText="1"/>
    </xf>
    <xf numFmtId="0" fontId="1" fillId="11" borderId="54" xfId="0" applyFont="1" applyFill="1" applyBorder="1" applyAlignment="1">
      <alignment horizontal="center" vertical="center" wrapText="1"/>
    </xf>
    <xf numFmtId="1" fontId="3" fillId="0" borderId="26" xfId="0" applyNumberFormat="1" applyFont="1" applyBorder="1" applyAlignment="1">
      <alignment horizontal="center" vertical="center" wrapText="1"/>
    </xf>
    <xf numFmtId="1" fontId="10" fillId="0" borderId="38" xfId="0" applyNumberFormat="1" applyFont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/>
    </xf>
    <xf numFmtId="0" fontId="16" fillId="3" borderId="38" xfId="0" applyFont="1" applyFill="1" applyBorder="1" applyAlignment="1">
      <alignment horizontal="center"/>
    </xf>
    <xf numFmtId="1" fontId="3" fillId="3" borderId="26" xfId="0" applyNumberFormat="1" applyFont="1" applyFill="1" applyBorder="1" applyAlignment="1">
      <alignment horizontal="center" vertical="center" wrapText="1"/>
    </xf>
    <xf numFmtId="1" fontId="3" fillId="3" borderId="38" xfId="0" applyNumberFormat="1" applyFont="1" applyFill="1" applyBorder="1" applyAlignment="1">
      <alignment horizontal="center" vertical="center" wrapText="1"/>
    </xf>
    <xf numFmtId="1" fontId="11" fillId="0" borderId="3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0" fillId="10" borderId="1" xfId="5" applyFont="1" applyBorder="1" applyAlignment="1">
      <alignment horizontal="center" vertical="center"/>
    </xf>
    <xf numFmtId="0" fontId="10" fillId="10" borderId="1" xfId="5" applyFont="1" applyBorder="1" applyAlignment="1" applyProtection="1">
      <alignment horizontal="center" vertical="center" wrapText="1"/>
    </xf>
    <xf numFmtId="0" fontId="10" fillId="7" borderId="1" xfId="2" applyFont="1" applyBorder="1" applyAlignment="1" applyProtection="1">
      <alignment horizontal="center" vertical="center" wrapText="1"/>
    </xf>
    <xf numFmtId="0" fontId="10" fillId="7" borderId="1" xfId="2" applyFont="1" applyBorder="1" applyAlignment="1">
      <alignment horizontal="center" vertical="center"/>
    </xf>
    <xf numFmtId="0" fontId="10" fillId="9" borderId="1" xfId="4" applyFont="1" applyBorder="1" applyAlignment="1">
      <alignment horizontal="center" vertical="center"/>
    </xf>
    <xf numFmtId="0" fontId="10" fillId="9" borderId="1" xfId="4" applyFont="1" applyBorder="1" applyAlignment="1" applyProtection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  <protection locked="0"/>
    </xf>
    <xf numFmtId="1" fontId="10" fillId="3" borderId="33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1" fontId="10" fillId="3" borderId="36" xfId="0" applyNumberFormat="1" applyFont="1" applyFill="1" applyBorder="1" applyAlignment="1">
      <alignment horizontal="center" vertical="center" wrapText="1"/>
    </xf>
    <xf numFmtId="1" fontId="10" fillId="3" borderId="3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67" xfId="0" applyFont="1" applyBorder="1"/>
    <xf numFmtId="0" fontId="10" fillId="0" borderId="49" xfId="0" applyFont="1" applyBorder="1"/>
    <xf numFmtId="1" fontId="7" fillId="12" borderId="1" xfId="0" applyNumberFormat="1" applyFont="1" applyFill="1" applyBorder="1" applyAlignment="1" applyProtection="1">
      <alignment horizontal="center" vertical="center" wrapText="1"/>
      <protection locked="0"/>
    </xf>
    <xf numFmtId="1" fontId="7" fillId="12" borderId="2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" fillId="0" borderId="16" xfId="0" applyFont="1" applyBorder="1" applyAlignment="1">
      <alignment horizontal="center" vertical="center" wrapText="1"/>
    </xf>
    <xf numFmtId="0" fontId="1" fillId="0" borderId="52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  <xf numFmtId="0" fontId="1" fillId="0" borderId="6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2" fillId="0" borderId="0" xfId="0" applyFont="1"/>
    <xf numFmtId="0" fontId="6" fillId="0" borderId="0" xfId="0" applyFont="1"/>
    <xf numFmtId="0" fontId="23" fillId="0" borderId="0" xfId="0" applyFont="1" applyAlignment="1">
      <alignment horizontal="center" vertical="center" wrapText="1"/>
    </xf>
    <xf numFmtId="0" fontId="21" fillId="13" borderId="74" xfId="0" applyFont="1" applyFill="1" applyBorder="1" applyAlignment="1">
      <alignment horizontal="center"/>
    </xf>
    <xf numFmtId="0" fontId="24" fillId="0" borderId="0" xfId="0" applyFont="1"/>
    <xf numFmtId="0" fontId="1" fillId="0" borderId="6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67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21" fillId="0" borderId="74" xfId="0" applyFont="1" applyBorder="1" applyAlignment="1">
      <alignment horizontal="center"/>
    </xf>
    <xf numFmtId="0" fontId="25" fillId="0" borderId="0" xfId="0" applyFont="1"/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41" xfId="0" applyFont="1" applyBorder="1" applyAlignment="1" applyProtection="1">
      <alignment horizontal="center" vertical="center" wrapText="1"/>
      <protection locked="0"/>
    </xf>
    <xf numFmtId="0" fontId="1" fillId="0" borderId="73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55" xfId="0" applyFont="1" applyFill="1" applyBorder="1" applyAlignment="1">
      <alignment horizontal="left" vertical="center" wrapText="1"/>
    </xf>
    <xf numFmtId="0" fontId="1" fillId="2" borderId="47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39" xfId="0" applyFont="1" applyFill="1" applyBorder="1" applyAlignment="1">
      <alignment horizontal="left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40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35" xfId="0" applyFont="1" applyBorder="1" applyAlignment="1" applyProtection="1">
      <alignment horizontal="center" vertical="center" wrapText="1"/>
      <protection locked="0"/>
    </xf>
    <xf numFmtId="0" fontId="10" fillId="0" borderId="43" xfId="0" applyFont="1" applyBorder="1" applyAlignment="1" applyProtection="1">
      <alignment horizontal="center" vertical="center" wrapText="1"/>
      <protection locked="0"/>
    </xf>
    <xf numFmtId="0" fontId="10" fillId="0" borderId="49" xfId="0" applyFont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1" fontId="10" fillId="0" borderId="23" xfId="0" applyNumberFormat="1" applyFont="1" applyBorder="1" applyAlignment="1" applyProtection="1">
      <alignment horizontal="center" vertical="center" wrapText="1"/>
      <protection locked="0"/>
    </xf>
    <xf numFmtId="1" fontId="10" fillId="0" borderId="25" xfId="0" applyNumberFormat="1" applyFont="1" applyBorder="1" applyAlignment="1" applyProtection="1">
      <alignment horizontal="center" vertical="center" wrapText="1"/>
      <protection locked="0"/>
    </xf>
    <xf numFmtId="1" fontId="10" fillId="0" borderId="24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justify" vertical="center" wrapText="1"/>
    </xf>
    <xf numFmtId="1" fontId="3" fillId="0" borderId="55" xfId="0" applyNumberFormat="1" applyFont="1" applyBorder="1" applyAlignment="1" applyProtection="1">
      <alignment horizontal="center" vertical="center" wrapText="1"/>
      <protection locked="0"/>
    </xf>
    <xf numFmtId="1" fontId="10" fillId="0" borderId="54" xfId="0" applyNumberFormat="1" applyFont="1" applyBorder="1" applyAlignment="1" applyProtection="1">
      <alignment horizontal="center" vertical="center" wrapText="1"/>
      <protection locked="0"/>
    </xf>
    <xf numFmtId="1" fontId="10" fillId="0" borderId="38" xfId="0" applyNumberFormat="1" applyFont="1" applyBorder="1" applyAlignment="1" applyProtection="1">
      <alignment horizontal="center" vertical="center" wrapText="1"/>
      <protection locked="0"/>
    </xf>
    <xf numFmtId="0" fontId="3" fillId="3" borderId="3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justify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1" fontId="3" fillId="0" borderId="23" xfId="0" applyNumberFormat="1" applyFont="1" applyBorder="1" applyAlignment="1" applyProtection="1">
      <alignment horizontal="center" vertical="center" wrapText="1"/>
      <protection locked="0"/>
    </xf>
    <xf numFmtId="1" fontId="10" fillId="0" borderId="30" xfId="0" applyNumberFormat="1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>
      <alignment horizontal="justify" vertical="center" wrapText="1"/>
    </xf>
    <xf numFmtId="0" fontId="5" fillId="3" borderId="5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11" borderId="36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left" vertical="center" wrapText="1"/>
    </xf>
    <xf numFmtId="0" fontId="1" fillId="11" borderId="19" xfId="0" applyFont="1" applyFill="1" applyBorder="1" applyAlignment="1">
      <alignment horizontal="left" vertical="center" wrapText="1"/>
    </xf>
    <xf numFmtId="0" fontId="1" fillId="11" borderId="55" xfId="0" applyFont="1" applyFill="1" applyBorder="1" applyAlignment="1">
      <alignment horizontal="left" vertical="center" wrapText="1"/>
    </xf>
    <xf numFmtId="0" fontId="1" fillId="2" borderId="31" xfId="0" applyFont="1" applyFill="1" applyBorder="1" applyAlignment="1">
      <alignment horizontal="left" vertical="center" wrapText="1"/>
    </xf>
    <xf numFmtId="0" fontId="1" fillId="2" borderId="42" xfId="0" applyFont="1" applyFill="1" applyBorder="1" applyAlignment="1">
      <alignment horizontal="left" vertical="center" wrapText="1"/>
    </xf>
    <xf numFmtId="0" fontId="1" fillId="2" borderId="69" xfId="0" applyFont="1" applyFill="1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3" xfId="0" applyFont="1" applyFill="1" applyBorder="1" applyAlignment="1">
      <alignment horizontal="center" vertical="center" wrapText="1"/>
    </xf>
    <xf numFmtId="0" fontId="1" fillId="3" borderId="72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6" fillId="3" borderId="70" xfId="0" applyFont="1" applyFill="1" applyBorder="1" applyAlignment="1">
      <alignment horizontal="center"/>
    </xf>
    <xf numFmtId="0" fontId="16" fillId="3" borderId="29" xfId="0" applyFont="1" applyFill="1" applyBorder="1" applyAlignment="1">
      <alignment horizontal="center"/>
    </xf>
    <xf numFmtId="0" fontId="1" fillId="4" borderId="31" xfId="0" applyFont="1" applyFill="1" applyBorder="1" applyAlignment="1" applyProtection="1">
      <alignment horizontal="center" vertical="center" wrapText="1"/>
      <protection locked="0"/>
    </xf>
    <xf numFmtId="0" fontId="1" fillId="4" borderId="42" xfId="0" applyFont="1" applyFill="1" applyBorder="1" applyAlignment="1" applyProtection="1">
      <alignment horizontal="center" vertical="center" wrapText="1"/>
      <protection locked="0"/>
    </xf>
    <xf numFmtId="0" fontId="1" fillId="4" borderId="69" xfId="0" applyFont="1" applyFill="1" applyBorder="1" applyAlignment="1" applyProtection="1">
      <alignment horizontal="center" vertical="center" wrapText="1"/>
      <protection locked="0"/>
    </xf>
    <xf numFmtId="0" fontId="1" fillId="4" borderId="32" xfId="0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1" fillId="4" borderId="67" xfId="0" applyFont="1" applyFill="1" applyBorder="1" applyAlignment="1" applyProtection="1">
      <alignment horizontal="center" vertical="center" wrapText="1"/>
      <protection locked="0"/>
    </xf>
    <xf numFmtId="0" fontId="1" fillId="4" borderId="35" xfId="0" applyFont="1" applyFill="1" applyBorder="1" applyAlignment="1" applyProtection="1">
      <alignment horizontal="center" vertical="center" wrapText="1"/>
      <protection locked="0"/>
    </xf>
    <xf numFmtId="0" fontId="1" fillId="4" borderId="43" xfId="0" applyFont="1" applyFill="1" applyBorder="1" applyAlignment="1" applyProtection="1">
      <alignment horizontal="center" vertical="center" wrapText="1"/>
      <protection locked="0"/>
    </xf>
    <xf numFmtId="0" fontId="1" fillId="4" borderId="49" xfId="0" applyFont="1" applyFill="1" applyBorder="1" applyAlignment="1" applyProtection="1">
      <alignment horizontal="center" vertical="center" wrapText="1"/>
      <protection locked="0"/>
    </xf>
    <xf numFmtId="0" fontId="10" fillId="0" borderId="56" xfId="0" applyFont="1" applyBorder="1" applyAlignment="1" applyProtection="1">
      <alignment horizontal="center" vertical="center" wrapText="1"/>
      <protection locked="0"/>
    </xf>
    <xf numFmtId="0" fontId="10" fillId="0" borderId="37" xfId="0" applyFont="1" applyBorder="1" applyAlignment="1" applyProtection="1">
      <alignment horizontal="center" vertical="center" wrapText="1"/>
      <protection locked="0"/>
    </xf>
    <xf numFmtId="0" fontId="10" fillId="0" borderId="30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>
      <alignment horizontal="center" vertical="center" wrapText="1"/>
    </xf>
    <xf numFmtId="0" fontId="5" fillId="3" borderId="50" xfId="0" applyFont="1" applyFill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  <protection locked="0"/>
    </xf>
    <xf numFmtId="1" fontId="3" fillId="3" borderId="19" xfId="0" applyNumberFormat="1" applyFont="1" applyFill="1" applyBorder="1" applyAlignment="1">
      <alignment horizontal="center" vertical="center" wrapText="1"/>
    </xf>
    <xf numFmtId="1" fontId="3" fillId="3" borderId="55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justify" vertical="center" wrapText="1"/>
    </xf>
    <xf numFmtId="0" fontId="10" fillId="3" borderId="59" xfId="0" applyFont="1" applyFill="1" applyBorder="1" applyAlignment="1">
      <alignment horizontal="center" vertical="center" wrapText="1"/>
    </xf>
    <xf numFmtId="0" fontId="10" fillId="3" borderId="6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left" vertical="center" wrapText="1"/>
    </xf>
    <xf numFmtId="0" fontId="1" fillId="2" borderId="60" xfId="0" applyFont="1" applyFill="1" applyBorder="1" applyAlignment="1">
      <alignment horizontal="left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justify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justify" vertical="center" wrapText="1"/>
    </xf>
    <xf numFmtId="0" fontId="3" fillId="0" borderId="28" xfId="0" applyFont="1" applyBorder="1" applyAlignment="1">
      <alignment horizontal="justify" vertical="center" wrapText="1"/>
    </xf>
    <xf numFmtId="0" fontId="3" fillId="0" borderId="29" xfId="0" applyFont="1" applyBorder="1" applyAlignment="1">
      <alignment horizontal="justify" vertical="center" wrapText="1"/>
    </xf>
    <xf numFmtId="0" fontId="3" fillId="0" borderId="20" xfId="0" applyFont="1" applyBorder="1" applyAlignment="1">
      <alignment horizontal="justify" vertical="center" wrapText="1"/>
    </xf>
    <xf numFmtId="0" fontId="3" fillId="0" borderId="21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1" fontId="3" fillId="3" borderId="19" xfId="0" applyNumberFormat="1" applyFont="1" applyFill="1" applyBorder="1" applyAlignment="1" applyProtection="1">
      <alignment horizontal="center" vertical="center" wrapText="1"/>
      <protection locked="0"/>
    </xf>
    <xf numFmtId="1" fontId="3" fillId="3" borderId="5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9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0" fillId="0" borderId="34" xfId="0" applyFont="1" applyBorder="1" applyAlignment="1" applyProtection="1">
      <alignment horizontal="center" vertical="center" wrapText="1"/>
      <protection locked="0"/>
    </xf>
    <xf numFmtId="0" fontId="1" fillId="4" borderId="36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54" xfId="0" applyFont="1" applyFill="1" applyBorder="1" applyAlignment="1" applyProtection="1">
      <alignment horizontal="center" vertical="center" wrapText="1"/>
      <protection locked="0"/>
    </xf>
    <xf numFmtId="0" fontId="1" fillId="4" borderId="34" xfId="0" applyFont="1" applyFill="1" applyBorder="1" applyAlignment="1" applyProtection="1">
      <alignment horizontal="center" vertical="center" wrapText="1"/>
      <protection locked="0"/>
    </xf>
    <xf numFmtId="0" fontId="1" fillId="4" borderId="26" xfId="0" applyFont="1" applyFill="1" applyBorder="1" applyAlignment="1" applyProtection="1">
      <alignment horizontal="center" vertical="center" wrapText="1"/>
      <protection locked="0"/>
    </xf>
    <xf numFmtId="0" fontId="1" fillId="4" borderId="38" xfId="0" applyFont="1" applyFill="1" applyBorder="1" applyAlignment="1" applyProtection="1">
      <alignment horizontal="center" vertical="center" wrapText="1"/>
      <protection locked="0"/>
    </xf>
    <xf numFmtId="0" fontId="3" fillId="0" borderId="3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26" fillId="0" borderId="27" xfId="6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1" fillId="0" borderId="7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left" vertical="center" wrapText="1"/>
    </xf>
    <xf numFmtId="0" fontId="10" fillId="0" borderId="50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center" wrapText="1"/>
    </xf>
    <xf numFmtId="0" fontId="3" fillId="14" borderId="3" xfId="0" applyFont="1" applyFill="1" applyBorder="1" applyAlignment="1">
      <alignment horizontal="justify" vertical="center" wrapText="1"/>
    </xf>
    <xf numFmtId="0" fontId="5" fillId="3" borderId="62" xfId="0" applyFont="1" applyFill="1" applyBorder="1" applyAlignment="1">
      <alignment horizontal="center" vertical="center" wrapText="1"/>
    </xf>
    <xf numFmtId="0" fontId="5" fillId="3" borderId="63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64" xfId="0" applyFont="1" applyFill="1" applyBorder="1" applyAlignment="1">
      <alignment horizontal="center" vertical="center" wrapText="1"/>
    </xf>
    <xf numFmtId="165" fontId="10" fillId="0" borderId="55" xfId="0" applyNumberFormat="1" applyFont="1" applyBorder="1" applyAlignment="1" applyProtection="1">
      <alignment horizontal="center" vertical="center" wrapText="1"/>
      <protection locked="0"/>
    </xf>
    <xf numFmtId="165" fontId="10" fillId="0" borderId="54" xfId="0" applyNumberFormat="1" applyFont="1" applyBorder="1" applyAlignment="1" applyProtection="1">
      <alignment horizontal="center" vertical="center" wrapText="1"/>
      <protection locked="0"/>
    </xf>
    <xf numFmtId="165" fontId="10" fillId="0" borderId="25" xfId="0" applyNumberFormat="1" applyFont="1" applyBorder="1" applyAlignment="1" applyProtection="1">
      <alignment horizontal="center" vertical="center" wrapText="1"/>
      <protection locked="0"/>
    </xf>
    <xf numFmtId="165" fontId="10" fillId="0" borderId="30" xfId="0" applyNumberFormat="1" applyFont="1" applyBorder="1" applyAlignment="1" applyProtection="1">
      <alignment horizontal="center" vertical="center" wrapText="1"/>
      <protection locked="0"/>
    </xf>
    <xf numFmtId="0" fontId="3" fillId="14" borderId="28" xfId="0" applyFont="1" applyFill="1" applyBorder="1" applyAlignment="1">
      <alignment horizontal="justify" vertical="center" wrapText="1"/>
    </xf>
    <xf numFmtId="0" fontId="19" fillId="0" borderId="59" xfId="0" applyFont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1" fillId="5" borderId="56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165" fontId="10" fillId="0" borderId="23" xfId="0" applyNumberFormat="1" applyFont="1" applyBorder="1" applyAlignment="1" applyProtection="1">
      <alignment horizontal="center" vertical="center" wrapText="1"/>
      <protection locked="0"/>
    </xf>
    <xf numFmtId="0" fontId="1" fillId="0" borderId="57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165" fontId="10" fillId="0" borderId="24" xfId="0" applyNumberFormat="1" applyFont="1" applyBorder="1" applyAlignment="1" applyProtection="1">
      <alignment horizontal="center" vertical="center" wrapText="1"/>
      <protection locked="0"/>
    </xf>
    <xf numFmtId="0" fontId="1" fillId="0" borderId="52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17" fontId="10" fillId="0" borderId="59" xfId="0" applyNumberFormat="1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15" borderId="46" xfId="0" applyFont="1" applyFill="1" applyBorder="1" applyAlignment="1">
      <alignment horizontal="center" vertical="center" wrapText="1"/>
    </xf>
    <xf numFmtId="0" fontId="1" fillId="15" borderId="32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14" fontId="1" fillId="0" borderId="20" xfId="0" applyNumberFormat="1" applyFont="1" applyBorder="1" applyAlignment="1">
      <alignment horizontal="center" vertical="center" wrapText="1"/>
    </xf>
    <xf numFmtId="17" fontId="1" fillId="0" borderId="20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67" xfId="0" applyFont="1" applyFill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56" xfId="0" applyFont="1" applyBorder="1" applyAlignment="1">
      <alignment horizontal="left" vertical="center" wrapText="1"/>
    </xf>
    <xf numFmtId="1" fontId="3" fillId="0" borderId="19" xfId="0" applyNumberFormat="1" applyFont="1" applyBorder="1" applyAlignment="1">
      <alignment horizontal="center" vertical="center" wrapText="1"/>
    </xf>
    <xf numFmtId="1" fontId="3" fillId="0" borderId="55" xfId="0" applyNumberFormat="1" applyFont="1" applyBorder="1" applyAlignment="1">
      <alignment horizontal="center" vertical="center" wrapText="1"/>
    </xf>
    <xf numFmtId="0" fontId="1" fillId="12" borderId="36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1" fillId="12" borderId="26" xfId="0" applyFont="1" applyFill="1" applyBorder="1" applyAlignment="1">
      <alignment horizontal="center" vertical="center" wrapText="1"/>
    </xf>
    <xf numFmtId="0" fontId="1" fillId="12" borderId="38" xfId="0" applyFont="1" applyFill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justify" vertical="center" wrapText="1"/>
    </xf>
    <xf numFmtId="0" fontId="3" fillId="0" borderId="52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justify" vertical="center"/>
    </xf>
    <xf numFmtId="165" fontId="10" fillId="3" borderId="23" xfId="0" applyNumberFormat="1" applyFont="1" applyFill="1" applyBorder="1" applyAlignment="1" applyProtection="1">
      <alignment horizontal="center" vertical="center" wrapText="1"/>
      <protection locked="0"/>
    </xf>
    <xf numFmtId="165" fontId="10" fillId="3" borderId="25" xfId="0" applyNumberFormat="1" applyFont="1" applyFill="1" applyBorder="1" applyAlignment="1" applyProtection="1">
      <alignment horizontal="center" vertical="center" wrapText="1"/>
      <protection locked="0"/>
    </xf>
    <xf numFmtId="165" fontId="10" fillId="3" borderId="30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>
      <alignment horizontal="justify" vertical="center" wrapText="1"/>
    </xf>
    <xf numFmtId="0" fontId="3" fillId="3" borderId="21" xfId="0" applyFont="1" applyFill="1" applyBorder="1" applyAlignment="1">
      <alignment horizontal="justify" vertical="center" wrapText="1"/>
    </xf>
    <xf numFmtId="0" fontId="10" fillId="9" borderId="55" xfId="4" applyFont="1" applyBorder="1" applyAlignment="1">
      <alignment horizontal="center" vertical="center"/>
    </xf>
    <xf numFmtId="0" fontId="10" fillId="9" borderId="54" xfId="4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9" borderId="19" xfId="4" applyFont="1" applyBorder="1" applyAlignment="1">
      <alignment horizontal="center" vertical="center"/>
    </xf>
    <xf numFmtId="0" fontId="10" fillId="9" borderId="1" xfId="4" applyFont="1" applyBorder="1" applyAlignment="1">
      <alignment horizontal="center" vertical="center"/>
    </xf>
    <xf numFmtId="0" fontId="12" fillId="9" borderId="36" xfId="4" applyFont="1" applyBorder="1" applyAlignment="1">
      <alignment horizontal="center" vertical="center"/>
    </xf>
    <xf numFmtId="0" fontId="15" fillId="9" borderId="31" xfId="4" applyFont="1" applyBorder="1" applyAlignment="1">
      <alignment horizontal="center" vertical="center"/>
    </xf>
    <xf numFmtId="0" fontId="15" fillId="9" borderId="44" xfId="4" applyFont="1" applyBorder="1" applyAlignment="1">
      <alignment horizontal="center" vertical="center"/>
    </xf>
    <xf numFmtId="0" fontId="15" fillId="9" borderId="45" xfId="4" applyFont="1" applyBorder="1" applyAlignment="1">
      <alignment horizontal="center" vertical="center"/>
    </xf>
    <xf numFmtId="0" fontId="15" fillId="9" borderId="12" xfId="4" applyFont="1" applyBorder="1" applyAlignment="1">
      <alignment horizontal="center" vertical="center"/>
    </xf>
    <xf numFmtId="0" fontId="10" fillId="9" borderId="36" xfId="4" applyFont="1" applyBorder="1" applyAlignment="1" applyProtection="1">
      <alignment horizontal="center" vertical="center" wrapText="1"/>
    </xf>
    <xf numFmtId="0" fontId="10" fillId="9" borderId="1" xfId="4" applyFont="1" applyBorder="1" applyAlignment="1" applyProtection="1">
      <alignment horizontal="center" vertical="center" wrapText="1"/>
    </xf>
    <xf numFmtId="0" fontId="10" fillId="3" borderId="1" xfId="1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40" xfId="0" applyFont="1" applyBorder="1" applyAlignment="1" applyProtection="1">
      <alignment horizontal="center" vertical="center"/>
      <protection locked="0"/>
    </xf>
    <xf numFmtId="0" fontId="10" fillId="7" borderId="36" xfId="2" applyFont="1" applyBorder="1" applyAlignment="1" applyProtection="1">
      <alignment horizontal="center" vertical="center" wrapText="1"/>
    </xf>
    <xf numFmtId="0" fontId="10" fillId="7" borderId="1" xfId="2" applyFont="1" applyBorder="1" applyAlignment="1" applyProtection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2" fillId="7" borderId="36" xfId="2" applyFont="1" applyBorder="1" applyAlignment="1">
      <alignment horizontal="center" vertical="center"/>
    </xf>
    <xf numFmtId="0" fontId="14" fillId="7" borderId="33" xfId="2" applyFont="1" applyBorder="1" applyAlignment="1">
      <alignment horizontal="center"/>
    </xf>
    <xf numFmtId="0" fontId="14" fillId="7" borderId="19" xfId="2" applyFont="1" applyBorder="1" applyAlignment="1">
      <alignment horizontal="center"/>
    </xf>
    <xf numFmtId="0" fontId="14" fillId="7" borderId="36" xfId="2" applyFont="1" applyBorder="1" applyAlignment="1">
      <alignment horizontal="center"/>
    </xf>
    <xf numFmtId="0" fontId="14" fillId="7" borderId="1" xfId="2" applyFont="1" applyBorder="1" applyAlignment="1">
      <alignment horizontal="center"/>
    </xf>
    <xf numFmtId="0" fontId="12" fillId="0" borderId="3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7" borderId="19" xfId="2" applyFont="1" applyBorder="1" applyAlignment="1">
      <alignment horizontal="center" vertical="center"/>
    </xf>
    <xf numFmtId="0" fontId="10" fillId="7" borderId="1" xfId="2" applyFont="1" applyBorder="1" applyAlignment="1">
      <alignment horizontal="center" vertical="center"/>
    </xf>
    <xf numFmtId="0" fontId="10" fillId="7" borderId="55" xfId="2" applyFont="1" applyBorder="1" applyAlignment="1">
      <alignment horizontal="center" vertical="center"/>
    </xf>
    <xf numFmtId="0" fontId="10" fillId="7" borderId="54" xfId="2" applyFont="1" applyBorder="1" applyAlignment="1">
      <alignment horizontal="center" vertical="center"/>
    </xf>
    <xf numFmtId="0" fontId="10" fillId="10" borderId="36" xfId="5" applyFont="1" applyBorder="1" applyAlignment="1" applyProtection="1">
      <alignment horizontal="center" vertical="center" wrapText="1"/>
    </xf>
    <xf numFmtId="0" fontId="10" fillId="10" borderId="1" xfId="5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40" xfId="0" applyFont="1" applyBorder="1" applyAlignment="1" applyProtection="1">
      <alignment horizontal="center"/>
      <protection locked="0"/>
    </xf>
    <xf numFmtId="0" fontId="10" fillId="10" borderId="19" xfId="5" applyFont="1" applyBorder="1" applyAlignment="1">
      <alignment horizontal="center" vertical="center"/>
    </xf>
    <xf numFmtId="0" fontId="10" fillId="10" borderId="1" xfId="5" applyFont="1" applyBorder="1" applyAlignment="1">
      <alignment horizontal="center" vertical="center"/>
    </xf>
    <xf numFmtId="0" fontId="10" fillId="10" borderId="55" xfId="5" applyFont="1" applyBorder="1" applyAlignment="1">
      <alignment horizontal="center" vertical="center"/>
    </xf>
    <xf numFmtId="0" fontId="10" fillId="10" borderId="54" xfId="5" applyFont="1" applyBorder="1" applyAlignment="1">
      <alignment horizontal="center" vertical="center"/>
    </xf>
    <xf numFmtId="0" fontId="12" fillId="10" borderId="36" xfId="5" applyFont="1" applyBorder="1" applyAlignment="1">
      <alignment horizontal="center"/>
    </xf>
    <xf numFmtId="0" fontId="14" fillId="10" borderId="31" xfId="5" applyFont="1" applyBorder="1" applyAlignment="1">
      <alignment horizontal="center" vertical="center"/>
    </xf>
    <xf numFmtId="0" fontId="14" fillId="10" borderId="44" xfId="5" applyFont="1" applyBorder="1" applyAlignment="1">
      <alignment horizontal="center" vertical="center"/>
    </xf>
    <xf numFmtId="0" fontId="14" fillId="10" borderId="45" xfId="5" applyFont="1" applyBorder="1" applyAlignment="1">
      <alignment horizontal="center" vertical="center"/>
    </xf>
    <xf numFmtId="0" fontId="14" fillId="10" borderId="12" xfId="5" applyFont="1" applyBorder="1" applyAlignment="1">
      <alignment horizontal="center" vertical="center"/>
    </xf>
  </cellXfs>
  <cellStyles count="7">
    <cellStyle name="20% - Accent1" xfId="1" builtinId="30"/>
    <cellStyle name="Accent2" xfId="2" builtinId="33"/>
    <cellStyle name="Accent3" xfId="3" builtinId="37"/>
    <cellStyle name="Accent4" xfId="4" builtinId="41"/>
    <cellStyle name="Accent5" xfId="5" builtinId="45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checked="Checked" firstButton="1" fmlaLink="Datos!$C$50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checked="Checked" firstButton="1" fmlaLink="Datos!$C$51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firstButton="1" fmlaLink="Datos!$C$52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checked="Checked" firstButton="1" fmlaLink="Datos!$C$53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CheckBox" fmlaLink="Datos!$C$55" lockText="1" noThreeD="1"/>
</file>

<file path=xl/ctrlProps/ctrlProp17.xml><?xml version="1.0" encoding="utf-8"?>
<formControlPr xmlns="http://schemas.microsoft.com/office/spreadsheetml/2009/9/main" objectType="GBox" noThreeD="1"/>
</file>

<file path=xl/ctrlProps/ctrlProp18.xml><?xml version="1.0" encoding="utf-8"?>
<formControlPr xmlns="http://schemas.microsoft.com/office/spreadsheetml/2009/9/main" objectType="Radio" checked="Checked" firstButton="1" fmlaLink="Datos!$C$54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GBox" noThreeD="1"/>
</file>

<file path=xl/ctrlProps/ctrlProp22.xml><?xml version="1.0" encoding="utf-8"?>
<formControlPr xmlns="http://schemas.microsoft.com/office/spreadsheetml/2009/9/main" objectType="GBox" noThreeD="1"/>
</file>

<file path=xl/ctrlProps/ctrlProp23.xml><?xml version="1.0" encoding="utf-8"?>
<formControlPr xmlns="http://schemas.microsoft.com/office/spreadsheetml/2009/9/main" objectType="GBox" noThreeD="1"/>
</file>

<file path=xl/ctrlProps/ctrlProp24.xml><?xml version="1.0" encoding="utf-8"?>
<formControlPr xmlns="http://schemas.microsoft.com/office/spreadsheetml/2009/9/main" objectType="GBox" noThreeD="1"/>
</file>

<file path=xl/ctrlProps/ctrlProp25.xml><?xml version="1.0" encoding="utf-8"?>
<formControlPr xmlns="http://schemas.microsoft.com/office/spreadsheetml/2009/9/main" objectType="GBox" noThreeD="1"/>
</file>

<file path=xl/ctrlProps/ctrlProp26.xml><?xml version="1.0" encoding="utf-8"?>
<formControlPr xmlns="http://schemas.microsoft.com/office/spreadsheetml/2009/9/main" objectType="GBox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Radio" checked="Checked" firstButton="1" fmlaLink="Datos!$C$27" lockText="1" noThreeD="1"/>
</file>

<file path=xl/ctrlProps/ctrlProp30.xml><?xml version="1.0" encoding="utf-8"?>
<formControlPr xmlns="http://schemas.microsoft.com/office/spreadsheetml/2009/9/main" objectType="Radio" lockText="1" noThreeD="1"/>
</file>

<file path=xl/ctrlProps/ctrlProp31.xml><?xml version="1.0" encoding="utf-8"?>
<formControlPr xmlns="http://schemas.microsoft.com/office/spreadsheetml/2009/9/main" objectType="Radio" lockText="1" noThreeD="1"/>
</file>

<file path=xl/ctrlProps/ctrlProp32.xml><?xml version="1.0" encoding="utf-8"?>
<formControlPr xmlns="http://schemas.microsoft.com/office/spreadsheetml/2009/9/main" objectType="Radio" checked="Checked" firstButton="1" fmlaLink="Datos!$C$28" lockText="1" noThreeD="1"/>
</file>

<file path=xl/ctrlProps/ctrlProp33.xml><?xml version="1.0" encoding="utf-8"?>
<formControlPr xmlns="http://schemas.microsoft.com/office/spreadsheetml/2009/9/main" objectType="Radio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Radio" checked="Checked" firstButton="1" fmlaLink="Datos!$C$29" lockText="1" noThreeD="1"/>
</file>

<file path=xl/ctrlProps/ctrlProp36.xml><?xml version="1.0" encoding="utf-8"?>
<formControlPr xmlns="http://schemas.microsoft.com/office/spreadsheetml/2009/9/main" objectType="Radio" lockText="1" noThreeD="1"/>
</file>

<file path=xl/ctrlProps/ctrlProp37.xml><?xml version="1.0" encoding="utf-8"?>
<formControlPr xmlns="http://schemas.microsoft.com/office/spreadsheetml/2009/9/main" objectType="Radio" lockText="1" noThreeD="1"/>
</file>

<file path=xl/ctrlProps/ctrlProp38.xml><?xml version="1.0" encoding="utf-8"?>
<formControlPr xmlns="http://schemas.microsoft.com/office/spreadsheetml/2009/9/main" objectType="Radio" checked="Checked" firstButton="1" fmlaLink="Datos!$C$30" lockText="1" noThreeD="1"/>
</file>

<file path=xl/ctrlProps/ctrlProp39.xml><?xml version="1.0" encoding="utf-8"?>
<formControlPr xmlns="http://schemas.microsoft.com/office/spreadsheetml/2009/9/main" objectType="Radio" lockText="1" noThreeD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Radio" checked="Checked" firstButton="1" fmlaLink="Datos!$C$31" lockText="1" noThreeD="1"/>
</file>

<file path=xl/ctrlProps/ctrlProp42.xml><?xml version="1.0" encoding="utf-8"?>
<formControlPr xmlns="http://schemas.microsoft.com/office/spreadsheetml/2009/9/main" objectType="Radio" lockText="1" noThreeD="1"/>
</file>

<file path=xl/ctrlProps/ctrlProp43.xml><?xml version="1.0" encoding="utf-8"?>
<formControlPr xmlns="http://schemas.microsoft.com/office/spreadsheetml/2009/9/main" objectType="Radio" lockText="1" noThreeD="1"/>
</file>

<file path=xl/ctrlProps/ctrlProp44.xml><?xml version="1.0" encoding="utf-8"?>
<formControlPr xmlns="http://schemas.microsoft.com/office/spreadsheetml/2009/9/main" objectType="Radio" checked="Checked" firstButton="1" fmlaLink="Datos!$C$32" lockText="1" noThreeD="1"/>
</file>

<file path=xl/ctrlProps/ctrlProp45.xml><?xml version="1.0" encoding="utf-8"?>
<formControlPr xmlns="http://schemas.microsoft.com/office/spreadsheetml/2009/9/main" objectType="Radio" lockText="1" noThreeD="1"/>
</file>

<file path=xl/ctrlProps/ctrlProp46.xml><?xml version="1.0" encoding="utf-8"?>
<formControlPr xmlns="http://schemas.microsoft.com/office/spreadsheetml/2009/9/main" objectType="Radio" lockText="1" noThreeD="1"/>
</file>

<file path=xl/ctrlProps/ctrlProp47.xml><?xml version="1.0" encoding="utf-8"?>
<formControlPr xmlns="http://schemas.microsoft.com/office/spreadsheetml/2009/9/main" objectType="Radio" checked="Checked" firstButton="1" fmlaLink="Datos!$C$33" lockText="1" noThreeD="1"/>
</file>

<file path=xl/ctrlProps/ctrlProp48.xml><?xml version="1.0" encoding="utf-8"?>
<formControlPr xmlns="http://schemas.microsoft.com/office/spreadsheetml/2009/9/main" objectType="Radio" lockText="1" noThreeD="1"/>
</file>

<file path=xl/ctrlProps/ctrlProp49.xml><?xml version="1.0" encoding="utf-8"?>
<formControlPr xmlns="http://schemas.microsoft.com/office/spreadsheetml/2009/9/main" objectType="Radio" checked="Checked" firstButton="1" fmlaLink="Datos!$C$34" lockText="1" noThreeD="1"/>
</file>

<file path=xl/ctrlProps/ctrlProp50.xml><?xml version="1.0" encoding="utf-8"?>
<formControlPr xmlns="http://schemas.microsoft.com/office/spreadsheetml/2009/9/main" objectType="Radio" lockText="1" noThreeD="1"/>
</file>

<file path=xl/ctrlProps/ctrlProp51.xml><?xml version="1.0" encoding="utf-8"?>
<formControlPr xmlns="http://schemas.microsoft.com/office/spreadsheetml/2009/9/main" objectType="Radio" lockText="1" noThreeD="1"/>
</file>

<file path=xl/ctrlProps/ctrlProp52.xml><?xml version="1.0" encoding="utf-8"?>
<formControlPr xmlns="http://schemas.microsoft.com/office/spreadsheetml/2009/9/main" objectType="CheckBox" fmlaLink="Datos!$C$35" lockText="1" noThreeD="1"/>
</file>

<file path=xl/ctrlProps/ctrlProp53.xml><?xml version="1.0" encoding="utf-8"?>
<formControlPr xmlns="http://schemas.microsoft.com/office/spreadsheetml/2009/9/main" objectType="CheckBox" checked="Checked" fmlaLink="Datos!$B$38" lockText="1" noThreeD="1"/>
</file>

<file path=xl/ctrlProps/ctrlProp54.xml><?xml version="1.0" encoding="utf-8"?>
<formControlPr xmlns="http://schemas.microsoft.com/office/spreadsheetml/2009/9/main" objectType="GBox" noThreeD="1"/>
</file>

<file path=xl/ctrlProps/ctrlProp55.xml><?xml version="1.0" encoding="utf-8"?>
<formControlPr xmlns="http://schemas.microsoft.com/office/spreadsheetml/2009/9/main" objectType="Radio" firstButton="1" fmlaLink="Datos!$C$3" lockText="1" noThreeD="1"/>
</file>

<file path=xl/ctrlProps/ctrlProp56.xml><?xml version="1.0" encoding="utf-8"?>
<formControlPr xmlns="http://schemas.microsoft.com/office/spreadsheetml/2009/9/main" objectType="Radio" lockText="1" noThreeD="1"/>
</file>

<file path=xl/ctrlProps/ctrlProp57.xml><?xml version="1.0" encoding="utf-8"?>
<formControlPr xmlns="http://schemas.microsoft.com/office/spreadsheetml/2009/9/main" objectType="Radio" checked="Checked" lockText="1" noThreeD="1"/>
</file>

<file path=xl/ctrlProps/ctrlProp58.xml><?xml version="1.0" encoding="utf-8"?>
<formControlPr xmlns="http://schemas.microsoft.com/office/spreadsheetml/2009/9/main" objectType="GBox" noThreeD="1"/>
</file>

<file path=xl/ctrlProps/ctrlProp59.xml><?xml version="1.0" encoding="utf-8"?>
<formControlPr xmlns="http://schemas.microsoft.com/office/spreadsheetml/2009/9/main" objectType="Radio" firstButton="1" fmlaLink="Datos!$C$4" lockText="1" noThreeD="1"/>
</file>

<file path=xl/ctrlProps/ctrlProp60.xml><?xml version="1.0" encoding="utf-8"?>
<formControlPr xmlns="http://schemas.microsoft.com/office/spreadsheetml/2009/9/main" objectType="Radio" lockText="1" noThreeD="1"/>
</file>

<file path=xl/ctrlProps/ctrlProp61.xml><?xml version="1.0" encoding="utf-8"?>
<formControlPr xmlns="http://schemas.microsoft.com/office/spreadsheetml/2009/9/main" objectType="Radio" checked="Checked" lockText="1" noThreeD="1"/>
</file>

<file path=xl/ctrlProps/ctrlProp62.xml><?xml version="1.0" encoding="utf-8"?>
<formControlPr xmlns="http://schemas.microsoft.com/office/spreadsheetml/2009/9/main" objectType="GBox" noThreeD="1"/>
</file>

<file path=xl/ctrlProps/ctrlProp63.xml><?xml version="1.0" encoding="utf-8"?>
<formControlPr xmlns="http://schemas.microsoft.com/office/spreadsheetml/2009/9/main" objectType="Radio" firstButton="1" fmlaLink="Datos!$C$5" lockText="1" noThreeD="1"/>
</file>

<file path=xl/ctrlProps/ctrlProp64.xml><?xml version="1.0" encoding="utf-8"?>
<formControlPr xmlns="http://schemas.microsoft.com/office/spreadsheetml/2009/9/main" objectType="Radio" checked="Checked" lockText="1" noThreeD="1"/>
</file>

<file path=xl/ctrlProps/ctrlProp65.xml><?xml version="1.0" encoding="utf-8"?>
<formControlPr xmlns="http://schemas.microsoft.com/office/spreadsheetml/2009/9/main" objectType="Radio" lockText="1" noThreeD="1"/>
</file>

<file path=xl/ctrlProps/ctrlProp66.xml><?xml version="1.0" encoding="utf-8"?>
<formControlPr xmlns="http://schemas.microsoft.com/office/spreadsheetml/2009/9/main" objectType="GBox" noThreeD="1"/>
</file>

<file path=xl/ctrlProps/ctrlProp67.xml><?xml version="1.0" encoding="utf-8"?>
<formControlPr xmlns="http://schemas.microsoft.com/office/spreadsheetml/2009/9/main" objectType="GBox" noThreeD="1"/>
</file>

<file path=xl/ctrlProps/ctrlProp68.xml><?xml version="1.0" encoding="utf-8"?>
<formControlPr xmlns="http://schemas.microsoft.com/office/spreadsheetml/2009/9/main" objectType="GBox" noThreeD="1"/>
</file>

<file path=xl/ctrlProps/ctrlProp69.xml><?xml version="1.0" encoding="utf-8"?>
<formControlPr xmlns="http://schemas.microsoft.com/office/spreadsheetml/2009/9/main" objectType="GBox" noThreeD="1"/>
</file>

<file path=xl/ctrlProps/ctrlProp70.xml><?xml version="1.0" encoding="utf-8"?>
<formControlPr xmlns="http://schemas.microsoft.com/office/spreadsheetml/2009/9/main" objectType="GBox" noThreeD="1"/>
</file>

<file path=xl/ctrlProps/ctrlProp71.xml><?xml version="1.0" encoding="utf-8"?>
<formControlPr xmlns="http://schemas.microsoft.com/office/spreadsheetml/2009/9/main" objectType="GBox" noThreeD="1"/>
</file>

<file path=xl/ctrlProps/ctrlProp72.xml><?xml version="1.0" encoding="utf-8"?>
<formControlPr xmlns="http://schemas.microsoft.com/office/spreadsheetml/2009/9/main" objectType="GBox" noThreeD="1"/>
</file>

<file path=xl/ctrlProps/ctrlProp73.xml><?xml version="1.0" encoding="utf-8"?>
<formControlPr xmlns="http://schemas.microsoft.com/office/spreadsheetml/2009/9/main" objectType="Radio" firstButton="1" fmlaLink="Datos!$C$6" lockText="1" noThreeD="1"/>
</file>

<file path=xl/ctrlProps/ctrlProp74.xml><?xml version="1.0" encoding="utf-8"?>
<formControlPr xmlns="http://schemas.microsoft.com/office/spreadsheetml/2009/9/main" objectType="Radio" lockText="1" noThreeD="1"/>
</file>

<file path=xl/ctrlProps/ctrlProp75.xml><?xml version="1.0" encoding="utf-8"?>
<formControlPr xmlns="http://schemas.microsoft.com/office/spreadsheetml/2009/9/main" objectType="Radio" checked="Checked" lockText="1" noThreeD="1"/>
</file>

<file path=xl/ctrlProps/ctrlProp76.xml><?xml version="1.0" encoding="utf-8"?>
<formControlPr xmlns="http://schemas.microsoft.com/office/spreadsheetml/2009/9/main" objectType="Radio" firstButton="1" fmlaLink="Datos!$C$7" lockText="1" noThreeD="1"/>
</file>

<file path=xl/ctrlProps/ctrlProp77.xml><?xml version="1.0" encoding="utf-8"?>
<formControlPr xmlns="http://schemas.microsoft.com/office/spreadsheetml/2009/9/main" objectType="Radio" checked="Checked" lockText="1" noThreeD="1"/>
</file>

<file path=xl/ctrlProps/ctrlProp78.xml><?xml version="1.0" encoding="utf-8"?>
<formControlPr xmlns="http://schemas.microsoft.com/office/spreadsheetml/2009/9/main" objectType="Radio" lockText="1" noThreeD="1"/>
</file>

<file path=xl/ctrlProps/ctrlProp79.xml><?xml version="1.0" encoding="utf-8"?>
<formControlPr xmlns="http://schemas.microsoft.com/office/spreadsheetml/2009/9/main" objectType="Radio" checked="Checked" firstButton="1" fmlaLink="Datos!$C$8" lockText="1" noThreeD="1"/>
</file>

<file path=xl/ctrlProps/ctrlProp80.xml><?xml version="1.0" encoding="utf-8"?>
<formControlPr xmlns="http://schemas.microsoft.com/office/spreadsheetml/2009/9/main" objectType="Radio" lockText="1" noThreeD="1"/>
</file>

<file path=xl/ctrlProps/ctrlProp81.xml><?xml version="1.0" encoding="utf-8"?>
<formControlPr xmlns="http://schemas.microsoft.com/office/spreadsheetml/2009/9/main" objectType="Radio" lockText="1" noThreeD="1"/>
</file>

<file path=xl/ctrlProps/ctrlProp82.xml><?xml version="1.0" encoding="utf-8"?>
<formControlPr xmlns="http://schemas.microsoft.com/office/spreadsheetml/2009/9/main" objectType="Radio" firstButton="1" fmlaLink="Datos!$C$9" lockText="1" noThreeD="1"/>
</file>

<file path=xl/ctrlProps/ctrlProp83.xml><?xml version="1.0" encoding="utf-8"?>
<formControlPr xmlns="http://schemas.microsoft.com/office/spreadsheetml/2009/9/main" objectType="Radio" checked="Checked" lockText="1" noThreeD="1"/>
</file>

<file path=xl/ctrlProps/ctrlProp84.xml><?xml version="1.0" encoding="utf-8"?>
<formControlPr xmlns="http://schemas.microsoft.com/office/spreadsheetml/2009/9/main" objectType="Radio" checked="Checked" firstButton="1" lockText="1" noThreeD="1"/>
</file>

<file path=xl/ctrlProps/ctrlProp85.xml><?xml version="1.0" encoding="utf-8"?>
<formControlPr xmlns="http://schemas.microsoft.com/office/spreadsheetml/2009/9/main" objectType="Radio" checked="Checked" firstButton="1" fmlaLink="Datos!$C$10" lockText="1" noThreeD="1"/>
</file>

<file path=xl/ctrlProps/ctrlProp86.xml><?xml version="1.0" encoding="utf-8"?>
<formControlPr xmlns="http://schemas.microsoft.com/office/spreadsheetml/2009/9/main" objectType="Radio" lockText="1" noThreeD="1"/>
</file>

<file path=xl/ctrlProps/ctrlProp87.xml><?xml version="1.0" encoding="utf-8"?>
<formControlPr xmlns="http://schemas.microsoft.com/office/spreadsheetml/2009/9/main" objectType="Radio" lockText="1" noThreeD="1"/>
</file>

<file path=xl/ctrlProps/ctrlProp88.xml><?xml version="1.0" encoding="utf-8"?>
<formControlPr xmlns="http://schemas.microsoft.com/office/spreadsheetml/2009/9/main" objectType="Radio" checked="Checked" firstButton="1" fmlaLink="Datos!$C$11" lockText="1" noThreeD="1"/>
</file>

<file path=xl/ctrlProps/ctrlProp89.xml><?xml version="1.0" encoding="utf-8"?>
<formControlPr xmlns="http://schemas.microsoft.com/office/spreadsheetml/2009/9/main" objectType="Radio" lockText="1" noThreeD="1"/>
</file>

<file path=xl/ctrlProps/ctrlProp90.xml><?xml version="1.0" encoding="utf-8"?>
<formControlPr xmlns="http://schemas.microsoft.com/office/spreadsheetml/2009/9/main" objectType="Radio" firstButton="1" fmlaLink="Datos!$C$12" lockText="1" noThreeD="1"/>
</file>

<file path=xl/ctrlProps/ctrlProp91.xml><?xml version="1.0" encoding="utf-8"?>
<formControlPr xmlns="http://schemas.microsoft.com/office/spreadsheetml/2009/9/main" objectType="Radio" lockText="1" noThreeD="1"/>
</file>

<file path=xl/ctrlProps/ctrlProp92.xml><?xml version="1.0" encoding="utf-8"?>
<formControlPr xmlns="http://schemas.microsoft.com/office/spreadsheetml/2009/9/main" objectType="Radio" checked="Checked" lockText="1" noThreeD="1"/>
</file>

<file path=xl/ctrlProps/ctrlProp93.xml><?xml version="1.0" encoding="utf-8"?>
<formControlPr xmlns="http://schemas.microsoft.com/office/spreadsheetml/2009/9/main" objectType="CheckBox" fmlaLink="Datos!$C$13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9</xdr:col>
          <xdr:colOff>0</xdr:colOff>
          <xdr:row>19</xdr:row>
          <xdr:rowOff>0</xdr:rowOff>
        </xdr:to>
        <xdr:sp macro="" textlink="">
          <xdr:nvSpPr>
            <xdr:cNvPr id="6145" name="Group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</xdr:row>
          <xdr:rowOff>0</xdr:rowOff>
        </xdr:from>
        <xdr:to>
          <xdr:col>9</xdr:col>
          <xdr:colOff>0</xdr:colOff>
          <xdr:row>22</xdr:row>
          <xdr:rowOff>0</xdr:rowOff>
        </xdr:to>
        <xdr:sp macro="" textlink="">
          <xdr:nvSpPr>
            <xdr:cNvPr id="6146" name="Group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</xdr:row>
          <xdr:rowOff>19050</xdr:rowOff>
        </xdr:from>
        <xdr:to>
          <xdr:col>9</xdr:col>
          <xdr:colOff>0</xdr:colOff>
          <xdr:row>25</xdr:row>
          <xdr:rowOff>0</xdr:rowOff>
        </xdr:to>
        <xdr:sp macro="" textlink="">
          <xdr:nvSpPr>
            <xdr:cNvPr id="6147" name="Group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</xdr:row>
          <xdr:rowOff>0</xdr:rowOff>
        </xdr:from>
        <xdr:to>
          <xdr:col>9</xdr:col>
          <xdr:colOff>0</xdr:colOff>
          <xdr:row>27</xdr:row>
          <xdr:rowOff>0</xdr:rowOff>
        </xdr:to>
        <xdr:sp macro="" textlink="">
          <xdr:nvSpPr>
            <xdr:cNvPr id="6148" name="Group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16</xdr:row>
          <xdr:rowOff>142875</xdr:rowOff>
        </xdr:from>
        <xdr:to>
          <xdr:col>7</xdr:col>
          <xdr:colOff>628650</xdr:colOff>
          <xdr:row>16</xdr:row>
          <xdr:rowOff>361950</xdr:rowOff>
        </xdr:to>
        <xdr:sp macro="" textlink="">
          <xdr:nvSpPr>
            <xdr:cNvPr id="6149" name="Option Butto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17</xdr:row>
          <xdr:rowOff>142875</xdr:rowOff>
        </xdr:from>
        <xdr:to>
          <xdr:col>7</xdr:col>
          <xdr:colOff>628650</xdr:colOff>
          <xdr:row>17</xdr:row>
          <xdr:rowOff>361950</xdr:rowOff>
        </xdr:to>
        <xdr:sp macro="" textlink="">
          <xdr:nvSpPr>
            <xdr:cNvPr id="6150" name="Option Button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18</xdr:row>
          <xdr:rowOff>142875</xdr:rowOff>
        </xdr:from>
        <xdr:to>
          <xdr:col>7</xdr:col>
          <xdr:colOff>628650</xdr:colOff>
          <xdr:row>18</xdr:row>
          <xdr:rowOff>361950</xdr:rowOff>
        </xdr:to>
        <xdr:sp macro="" textlink="">
          <xdr:nvSpPr>
            <xdr:cNvPr id="6151" name="Option Button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19</xdr:row>
          <xdr:rowOff>142875</xdr:rowOff>
        </xdr:from>
        <xdr:to>
          <xdr:col>7</xdr:col>
          <xdr:colOff>628650</xdr:colOff>
          <xdr:row>19</xdr:row>
          <xdr:rowOff>361950</xdr:rowOff>
        </xdr:to>
        <xdr:sp macro="" textlink="">
          <xdr:nvSpPr>
            <xdr:cNvPr id="6152" name="Option Button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20</xdr:row>
          <xdr:rowOff>142875</xdr:rowOff>
        </xdr:from>
        <xdr:to>
          <xdr:col>7</xdr:col>
          <xdr:colOff>628650</xdr:colOff>
          <xdr:row>20</xdr:row>
          <xdr:rowOff>361950</xdr:rowOff>
        </xdr:to>
        <xdr:sp macro="" textlink="">
          <xdr:nvSpPr>
            <xdr:cNvPr id="6153" name="Option Butto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21</xdr:row>
          <xdr:rowOff>142875</xdr:rowOff>
        </xdr:from>
        <xdr:to>
          <xdr:col>7</xdr:col>
          <xdr:colOff>628650</xdr:colOff>
          <xdr:row>21</xdr:row>
          <xdr:rowOff>361950</xdr:rowOff>
        </xdr:to>
        <xdr:sp macro="" textlink="">
          <xdr:nvSpPr>
            <xdr:cNvPr id="6154" name="Option Button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22</xdr:row>
          <xdr:rowOff>142875</xdr:rowOff>
        </xdr:from>
        <xdr:to>
          <xdr:col>7</xdr:col>
          <xdr:colOff>628650</xdr:colOff>
          <xdr:row>22</xdr:row>
          <xdr:rowOff>361950</xdr:rowOff>
        </xdr:to>
        <xdr:sp macro="" textlink="">
          <xdr:nvSpPr>
            <xdr:cNvPr id="6155" name="Option Button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23</xdr:row>
          <xdr:rowOff>142875</xdr:rowOff>
        </xdr:from>
        <xdr:to>
          <xdr:col>7</xdr:col>
          <xdr:colOff>628650</xdr:colOff>
          <xdr:row>23</xdr:row>
          <xdr:rowOff>361950</xdr:rowOff>
        </xdr:to>
        <xdr:sp macro="" textlink="">
          <xdr:nvSpPr>
            <xdr:cNvPr id="6156" name="Option Button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24</xdr:row>
          <xdr:rowOff>142875</xdr:rowOff>
        </xdr:from>
        <xdr:to>
          <xdr:col>7</xdr:col>
          <xdr:colOff>628650</xdr:colOff>
          <xdr:row>24</xdr:row>
          <xdr:rowOff>361950</xdr:rowOff>
        </xdr:to>
        <xdr:sp macro="" textlink="">
          <xdr:nvSpPr>
            <xdr:cNvPr id="6157" name="Option Button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0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25</xdr:row>
          <xdr:rowOff>142875</xdr:rowOff>
        </xdr:from>
        <xdr:to>
          <xdr:col>7</xdr:col>
          <xdr:colOff>628650</xdr:colOff>
          <xdr:row>25</xdr:row>
          <xdr:rowOff>361950</xdr:rowOff>
        </xdr:to>
        <xdr:sp macro="" textlink="">
          <xdr:nvSpPr>
            <xdr:cNvPr id="6158" name="Option Button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26</xdr:row>
          <xdr:rowOff>142875</xdr:rowOff>
        </xdr:from>
        <xdr:to>
          <xdr:col>7</xdr:col>
          <xdr:colOff>628650</xdr:colOff>
          <xdr:row>26</xdr:row>
          <xdr:rowOff>361950</xdr:rowOff>
        </xdr:to>
        <xdr:sp macro="" textlink="">
          <xdr:nvSpPr>
            <xdr:cNvPr id="6159" name="Option Button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0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762000</xdr:colOff>
          <xdr:row>30</xdr:row>
          <xdr:rowOff>285750</xdr:rowOff>
        </xdr:from>
        <xdr:to>
          <xdr:col>8</xdr:col>
          <xdr:colOff>285750</xdr:colOff>
          <xdr:row>30</xdr:row>
          <xdr:rowOff>495300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0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</xdr:row>
          <xdr:rowOff>0</xdr:rowOff>
        </xdr:from>
        <xdr:to>
          <xdr:col>9</xdr:col>
          <xdr:colOff>0</xdr:colOff>
          <xdr:row>30</xdr:row>
          <xdr:rowOff>0</xdr:rowOff>
        </xdr:to>
        <xdr:sp macro="" textlink="">
          <xdr:nvSpPr>
            <xdr:cNvPr id="6166" name="Group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0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27</xdr:row>
          <xdr:rowOff>152400</xdr:rowOff>
        </xdr:from>
        <xdr:to>
          <xdr:col>7</xdr:col>
          <xdr:colOff>666750</xdr:colOff>
          <xdr:row>27</xdr:row>
          <xdr:rowOff>361950</xdr:rowOff>
        </xdr:to>
        <xdr:sp macro="" textlink="">
          <xdr:nvSpPr>
            <xdr:cNvPr id="6170" name="Option Button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0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28</xdr:row>
          <xdr:rowOff>152400</xdr:rowOff>
        </xdr:from>
        <xdr:to>
          <xdr:col>7</xdr:col>
          <xdr:colOff>666750</xdr:colOff>
          <xdr:row>28</xdr:row>
          <xdr:rowOff>361950</xdr:rowOff>
        </xdr:to>
        <xdr:sp macro="" textlink="">
          <xdr:nvSpPr>
            <xdr:cNvPr id="6171" name="Option Button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0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29</xdr:row>
          <xdr:rowOff>152400</xdr:rowOff>
        </xdr:from>
        <xdr:to>
          <xdr:col>7</xdr:col>
          <xdr:colOff>666750</xdr:colOff>
          <xdr:row>29</xdr:row>
          <xdr:rowOff>361950</xdr:rowOff>
        </xdr:to>
        <xdr:sp macro="" textlink="">
          <xdr:nvSpPr>
            <xdr:cNvPr id="6172" name="Option Button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0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19050</xdr:rowOff>
        </xdr:from>
        <xdr:to>
          <xdr:col>9</xdr:col>
          <xdr:colOff>0</xdr:colOff>
          <xdr:row>21</xdr:row>
          <xdr:rowOff>0</xdr:rowOff>
        </xdr:to>
        <xdr:sp macro="" textlink="">
          <xdr:nvSpPr>
            <xdr:cNvPr id="3073" name="Group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19050</xdr:rowOff>
        </xdr:from>
        <xdr:to>
          <xdr:col>9</xdr:col>
          <xdr:colOff>0</xdr:colOff>
          <xdr:row>24</xdr:row>
          <xdr:rowOff>0</xdr:rowOff>
        </xdr:to>
        <xdr:sp macro="" textlink="">
          <xdr:nvSpPr>
            <xdr:cNvPr id="3074" name="Group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</xdr:row>
          <xdr:rowOff>0</xdr:rowOff>
        </xdr:from>
        <xdr:to>
          <xdr:col>9</xdr:col>
          <xdr:colOff>0</xdr:colOff>
          <xdr:row>27</xdr:row>
          <xdr:rowOff>0</xdr:rowOff>
        </xdr:to>
        <xdr:sp macro="" textlink="">
          <xdr:nvSpPr>
            <xdr:cNvPr id="3075" name="Group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</xdr:row>
          <xdr:rowOff>0</xdr:rowOff>
        </xdr:from>
        <xdr:to>
          <xdr:col>9</xdr:col>
          <xdr:colOff>0</xdr:colOff>
          <xdr:row>30</xdr:row>
          <xdr:rowOff>19050</xdr:rowOff>
        </xdr:to>
        <xdr:sp macro="" textlink="">
          <xdr:nvSpPr>
            <xdr:cNvPr id="3076" name="Group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0</xdr:rowOff>
        </xdr:from>
        <xdr:to>
          <xdr:col>9</xdr:col>
          <xdr:colOff>0</xdr:colOff>
          <xdr:row>33</xdr:row>
          <xdr:rowOff>0</xdr:rowOff>
        </xdr:to>
        <xdr:sp macro="" textlink="">
          <xdr:nvSpPr>
            <xdr:cNvPr id="3077" name="Group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</xdr:row>
          <xdr:rowOff>19050</xdr:rowOff>
        </xdr:from>
        <xdr:to>
          <xdr:col>9</xdr:col>
          <xdr:colOff>0</xdr:colOff>
          <xdr:row>37</xdr:row>
          <xdr:rowOff>333375</xdr:rowOff>
        </xdr:to>
        <xdr:sp macro="" textlink="">
          <xdr:nvSpPr>
            <xdr:cNvPr id="3078" name="Group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</xdr:row>
          <xdr:rowOff>342900</xdr:rowOff>
        </xdr:from>
        <xdr:to>
          <xdr:col>9</xdr:col>
          <xdr:colOff>0</xdr:colOff>
          <xdr:row>41</xdr:row>
          <xdr:rowOff>0</xdr:rowOff>
        </xdr:to>
        <xdr:sp macro="" textlink="">
          <xdr:nvSpPr>
            <xdr:cNvPr id="3079" name="Group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9</xdr:col>
          <xdr:colOff>0</xdr:colOff>
          <xdr:row>36</xdr:row>
          <xdr:rowOff>19050</xdr:rowOff>
        </xdr:to>
        <xdr:sp macro="" textlink="">
          <xdr:nvSpPr>
            <xdr:cNvPr id="3080" name="Group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18</xdr:row>
          <xdr:rowOff>171450</xdr:rowOff>
        </xdr:from>
        <xdr:to>
          <xdr:col>7</xdr:col>
          <xdr:colOff>628650</xdr:colOff>
          <xdr:row>18</xdr:row>
          <xdr:rowOff>371475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19</xdr:row>
          <xdr:rowOff>142875</xdr:rowOff>
        </xdr:from>
        <xdr:to>
          <xdr:col>7</xdr:col>
          <xdr:colOff>628650</xdr:colOff>
          <xdr:row>19</xdr:row>
          <xdr:rowOff>361950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20</xdr:row>
          <xdr:rowOff>133350</xdr:rowOff>
        </xdr:from>
        <xdr:to>
          <xdr:col>7</xdr:col>
          <xdr:colOff>628650</xdr:colOff>
          <xdr:row>20</xdr:row>
          <xdr:rowOff>342900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21</xdr:row>
          <xdr:rowOff>133350</xdr:rowOff>
        </xdr:from>
        <xdr:to>
          <xdr:col>7</xdr:col>
          <xdr:colOff>638175</xdr:colOff>
          <xdr:row>21</xdr:row>
          <xdr:rowOff>342900</xdr:rowOff>
        </xdr:to>
        <xdr:sp macro="" textlink="">
          <xdr:nvSpPr>
            <xdr:cNvPr id="3085" name="Option Button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22</xdr:row>
          <xdr:rowOff>180975</xdr:rowOff>
        </xdr:from>
        <xdr:to>
          <xdr:col>7</xdr:col>
          <xdr:colOff>638175</xdr:colOff>
          <xdr:row>22</xdr:row>
          <xdr:rowOff>400050</xdr:rowOff>
        </xdr:to>
        <xdr:sp macro="" textlink="">
          <xdr:nvSpPr>
            <xdr:cNvPr id="3086" name="Option Button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23</xdr:row>
          <xdr:rowOff>142875</xdr:rowOff>
        </xdr:from>
        <xdr:to>
          <xdr:col>7</xdr:col>
          <xdr:colOff>638175</xdr:colOff>
          <xdr:row>23</xdr:row>
          <xdr:rowOff>361950</xdr:rowOff>
        </xdr:to>
        <xdr:sp macro="" textlink="">
          <xdr:nvSpPr>
            <xdr:cNvPr id="3087" name="Option Button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24</xdr:row>
          <xdr:rowOff>180975</xdr:rowOff>
        </xdr:from>
        <xdr:to>
          <xdr:col>7</xdr:col>
          <xdr:colOff>638175</xdr:colOff>
          <xdr:row>24</xdr:row>
          <xdr:rowOff>400050</xdr:rowOff>
        </xdr:to>
        <xdr:sp macro="" textlink="">
          <xdr:nvSpPr>
            <xdr:cNvPr id="3088" name="Option Button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25</xdr:row>
          <xdr:rowOff>133350</xdr:rowOff>
        </xdr:from>
        <xdr:to>
          <xdr:col>7</xdr:col>
          <xdr:colOff>638175</xdr:colOff>
          <xdr:row>25</xdr:row>
          <xdr:rowOff>342900</xdr:rowOff>
        </xdr:to>
        <xdr:sp macro="" textlink="">
          <xdr:nvSpPr>
            <xdr:cNvPr id="3089" name="Option Button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26</xdr:row>
          <xdr:rowOff>114300</xdr:rowOff>
        </xdr:from>
        <xdr:to>
          <xdr:col>7</xdr:col>
          <xdr:colOff>638175</xdr:colOff>
          <xdr:row>26</xdr:row>
          <xdr:rowOff>323850</xdr:rowOff>
        </xdr:to>
        <xdr:sp macro="" textlink="">
          <xdr:nvSpPr>
            <xdr:cNvPr id="3090" name="Option Button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27</xdr:row>
          <xdr:rowOff>133350</xdr:rowOff>
        </xdr:from>
        <xdr:to>
          <xdr:col>7</xdr:col>
          <xdr:colOff>638175</xdr:colOff>
          <xdr:row>27</xdr:row>
          <xdr:rowOff>342900</xdr:rowOff>
        </xdr:to>
        <xdr:sp macro="" textlink="">
          <xdr:nvSpPr>
            <xdr:cNvPr id="3091" name="Option Button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28</xdr:row>
          <xdr:rowOff>133350</xdr:rowOff>
        </xdr:from>
        <xdr:to>
          <xdr:col>7</xdr:col>
          <xdr:colOff>638175</xdr:colOff>
          <xdr:row>28</xdr:row>
          <xdr:rowOff>342900</xdr:rowOff>
        </xdr:to>
        <xdr:sp macro="" textlink="">
          <xdr:nvSpPr>
            <xdr:cNvPr id="3092" name="Option Button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29</xdr:row>
          <xdr:rowOff>133350</xdr:rowOff>
        </xdr:from>
        <xdr:to>
          <xdr:col>7</xdr:col>
          <xdr:colOff>638175</xdr:colOff>
          <xdr:row>29</xdr:row>
          <xdr:rowOff>342900</xdr:rowOff>
        </xdr:to>
        <xdr:sp macro="" textlink="">
          <xdr:nvSpPr>
            <xdr:cNvPr id="3093" name="Option Button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30</xdr:row>
          <xdr:rowOff>247650</xdr:rowOff>
        </xdr:from>
        <xdr:to>
          <xdr:col>7</xdr:col>
          <xdr:colOff>638175</xdr:colOff>
          <xdr:row>30</xdr:row>
          <xdr:rowOff>457200</xdr:rowOff>
        </xdr:to>
        <xdr:sp macro="" textlink="">
          <xdr:nvSpPr>
            <xdr:cNvPr id="3095" name="Option Button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31</xdr:row>
          <xdr:rowOff>247650</xdr:rowOff>
        </xdr:from>
        <xdr:to>
          <xdr:col>7</xdr:col>
          <xdr:colOff>638175</xdr:colOff>
          <xdr:row>31</xdr:row>
          <xdr:rowOff>457200</xdr:rowOff>
        </xdr:to>
        <xdr:sp macro="" textlink="">
          <xdr:nvSpPr>
            <xdr:cNvPr id="3097" name="Option Butto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32</xdr:row>
          <xdr:rowOff>333375</xdr:rowOff>
        </xdr:from>
        <xdr:to>
          <xdr:col>7</xdr:col>
          <xdr:colOff>638175</xdr:colOff>
          <xdr:row>32</xdr:row>
          <xdr:rowOff>552450</xdr:rowOff>
        </xdr:to>
        <xdr:sp macro="" textlink="">
          <xdr:nvSpPr>
            <xdr:cNvPr id="3098" name="Option Button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33</xdr:row>
          <xdr:rowOff>257175</xdr:rowOff>
        </xdr:from>
        <xdr:to>
          <xdr:col>7</xdr:col>
          <xdr:colOff>638175</xdr:colOff>
          <xdr:row>33</xdr:row>
          <xdr:rowOff>476250</xdr:rowOff>
        </xdr:to>
        <xdr:sp macro="" textlink="">
          <xdr:nvSpPr>
            <xdr:cNvPr id="3099" name="Option Button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34</xdr:row>
          <xdr:rowOff>257175</xdr:rowOff>
        </xdr:from>
        <xdr:to>
          <xdr:col>7</xdr:col>
          <xdr:colOff>638175</xdr:colOff>
          <xdr:row>34</xdr:row>
          <xdr:rowOff>476250</xdr:rowOff>
        </xdr:to>
        <xdr:sp macro="" textlink="">
          <xdr:nvSpPr>
            <xdr:cNvPr id="3100" name="Option Button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35</xdr:row>
          <xdr:rowOff>285750</xdr:rowOff>
        </xdr:from>
        <xdr:to>
          <xdr:col>7</xdr:col>
          <xdr:colOff>638175</xdr:colOff>
          <xdr:row>35</xdr:row>
          <xdr:rowOff>485775</xdr:rowOff>
        </xdr:to>
        <xdr:sp macro="" textlink="">
          <xdr:nvSpPr>
            <xdr:cNvPr id="3101" name="Option Button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36</xdr:row>
          <xdr:rowOff>66675</xdr:rowOff>
        </xdr:from>
        <xdr:to>
          <xdr:col>7</xdr:col>
          <xdr:colOff>638175</xdr:colOff>
          <xdr:row>36</xdr:row>
          <xdr:rowOff>285750</xdr:rowOff>
        </xdr:to>
        <xdr:sp macro="" textlink="">
          <xdr:nvSpPr>
            <xdr:cNvPr id="3102" name="Option Button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37</xdr:row>
          <xdr:rowOff>66675</xdr:rowOff>
        </xdr:from>
        <xdr:to>
          <xdr:col>7</xdr:col>
          <xdr:colOff>638175</xdr:colOff>
          <xdr:row>37</xdr:row>
          <xdr:rowOff>285750</xdr:rowOff>
        </xdr:to>
        <xdr:sp macro="" textlink="">
          <xdr:nvSpPr>
            <xdr:cNvPr id="3103" name="Option Button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1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38</xdr:row>
          <xdr:rowOff>285750</xdr:rowOff>
        </xdr:from>
        <xdr:to>
          <xdr:col>7</xdr:col>
          <xdr:colOff>638175</xdr:colOff>
          <xdr:row>38</xdr:row>
          <xdr:rowOff>485775</xdr:rowOff>
        </xdr:to>
        <xdr:sp macro="" textlink="">
          <xdr:nvSpPr>
            <xdr:cNvPr id="3104" name="Option Button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1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39</xdr:row>
          <xdr:rowOff>285750</xdr:rowOff>
        </xdr:from>
        <xdr:to>
          <xdr:col>7</xdr:col>
          <xdr:colOff>638175</xdr:colOff>
          <xdr:row>39</xdr:row>
          <xdr:rowOff>485775</xdr:rowOff>
        </xdr:to>
        <xdr:sp macro="" textlink="">
          <xdr:nvSpPr>
            <xdr:cNvPr id="3105" name="Option Button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1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333375</xdr:colOff>
          <xdr:row>40</xdr:row>
          <xdr:rowOff>285750</xdr:rowOff>
        </xdr:from>
        <xdr:to>
          <xdr:col>7</xdr:col>
          <xdr:colOff>638175</xdr:colOff>
          <xdr:row>40</xdr:row>
          <xdr:rowOff>485775</xdr:rowOff>
        </xdr:to>
        <xdr:sp macro="" textlink="">
          <xdr:nvSpPr>
            <xdr:cNvPr id="3106" name="Option Button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1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41</xdr:row>
          <xdr:rowOff>190500</xdr:rowOff>
        </xdr:from>
        <xdr:to>
          <xdr:col>8</xdr:col>
          <xdr:colOff>247650</xdr:colOff>
          <xdr:row>41</xdr:row>
          <xdr:rowOff>438150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1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742950</xdr:colOff>
          <xdr:row>14</xdr:row>
          <xdr:rowOff>57150</xdr:rowOff>
        </xdr:from>
        <xdr:to>
          <xdr:col>8</xdr:col>
          <xdr:colOff>266700</xdr:colOff>
          <xdr:row>15</xdr:row>
          <xdr:rowOff>133350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1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1019175</xdr:colOff>
          <xdr:row>18</xdr:row>
          <xdr:rowOff>323850</xdr:rowOff>
        </xdr:from>
        <xdr:to>
          <xdr:col>9</xdr:col>
          <xdr:colOff>1143000</xdr:colOff>
          <xdr:row>21</xdr:row>
          <xdr:rowOff>419100</xdr:rowOff>
        </xdr:to>
        <xdr:sp macro="" textlink="">
          <xdr:nvSpPr>
            <xdr:cNvPr id="1025" name="Group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19</xdr:row>
          <xdr:rowOff>104775</xdr:rowOff>
        </xdr:from>
        <xdr:to>
          <xdr:col>8</xdr:col>
          <xdr:colOff>666750</xdr:colOff>
          <xdr:row>19</xdr:row>
          <xdr:rowOff>323850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20</xdr:row>
          <xdr:rowOff>76200</xdr:rowOff>
        </xdr:from>
        <xdr:to>
          <xdr:col>8</xdr:col>
          <xdr:colOff>647700</xdr:colOff>
          <xdr:row>20</xdr:row>
          <xdr:rowOff>285750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21</xdr:row>
          <xdr:rowOff>133350</xdr:rowOff>
        </xdr:from>
        <xdr:to>
          <xdr:col>8</xdr:col>
          <xdr:colOff>647700</xdr:colOff>
          <xdr:row>21</xdr:row>
          <xdr:rowOff>342900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</xdr:row>
          <xdr:rowOff>0</xdr:rowOff>
        </xdr:from>
        <xdr:to>
          <xdr:col>10</xdr:col>
          <xdr:colOff>0</xdr:colOff>
          <xdr:row>25</xdr:row>
          <xdr:rowOff>28575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22</xdr:row>
          <xdr:rowOff>171450</xdr:rowOff>
        </xdr:from>
        <xdr:to>
          <xdr:col>8</xdr:col>
          <xdr:colOff>704850</xdr:colOff>
          <xdr:row>22</xdr:row>
          <xdr:rowOff>361950</xdr:rowOff>
        </xdr:to>
        <xdr:sp macro="" textlink="">
          <xdr:nvSpPr>
            <xdr:cNvPr id="1034" name="Option 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23</xdr:row>
          <xdr:rowOff>95250</xdr:rowOff>
        </xdr:from>
        <xdr:to>
          <xdr:col>8</xdr:col>
          <xdr:colOff>704850</xdr:colOff>
          <xdr:row>23</xdr:row>
          <xdr:rowOff>323850</xdr:rowOff>
        </xdr:to>
        <xdr:sp macro="" textlink="">
          <xdr:nvSpPr>
            <xdr:cNvPr id="1035" name="Option 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24</xdr:row>
          <xdr:rowOff>76200</xdr:rowOff>
        </xdr:from>
        <xdr:to>
          <xdr:col>8</xdr:col>
          <xdr:colOff>704850</xdr:colOff>
          <xdr:row>24</xdr:row>
          <xdr:rowOff>285750</xdr:rowOff>
        </xdr:to>
        <xdr:sp macro="" textlink=""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</xdr:row>
          <xdr:rowOff>19050</xdr:rowOff>
        </xdr:from>
        <xdr:to>
          <xdr:col>10</xdr:col>
          <xdr:colOff>0</xdr:colOff>
          <xdr:row>27</xdr:row>
          <xdr:rowOff>495300</xdr:rowOff>
        </xdr:to>
        <xdr:sp macro="" textlink="">
          <xdr:nvSpPr>
            <xdr:cNvPr id="1038" name="Group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3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25</xdr:row>
          <xdr:rowOff>209550</xdr:rowOff>
        </xdr:from>
        <xdr:to>
          <xdr:col>8</xdr:col>
          <xdr:colOff>704850</xdr:colOff>
          <xdr:row>25</xdr:row>
          <xdr:rowOff>409575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3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26</xdr:row>
          <xdr:rowOff>114300</xdr:rowOff>
        </xdr:from>
        <xdr:to>
          <xdr:col>8</xdr:col>
          <xdr:colOff>704850</xdr:colOff>
          <xdr:row>26</xdr:row>
          <xdr:rowOff>323850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3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27</xdr:row>
          <xdr:rowOff>152400</xdr:rowOff>
        </xdr:from>
        <xdr:to>
          <xdr:col>8</xdr:col>
          <xdr:colOff>704850</xdr:colOff>
          <xdr:row>27</xdr:row>
          <xdr:rowOff>361950</xdr:rowOff>
        </xdr:to>
        <xdr:sp macro="" textlink="">
          <xdr:nvSpPr>
            <xdr:cNvPr id="1042" name="Option 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3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</xdr:row>
          <xdr:rowOff>19050</xdr:rowOff>
        </xdr:from>
        <xdr:to>
          <xdr:col>10</xdr:col>
          <xdr:colOff>0</xdr:colOff>
          <xdr:row>30</xdr:row>
          <xdr:rowOff>571500</xdr:rowOff>
        </xdr:to>
        <xdr:sp macro="" textlink="">
          <xdr:nvSpPr>
            <xdr:cNvPr id="1049" name="Group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3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</xdr:row>
          <xdr:rowOff>19050</xdr:rowOff>
        </xdr:from>
        <xdr:to>
          <xdr:col>10</xdr:col>
          <xdr:colOff>0</xdr:colOff>
          <xdr:row>33</xdr:row>
          <xdr:rowOff>476250</xdr:rowOff>
        </xdr:to>
        <xdr:sp macro="" textlink="">
          <xdr:nvSpPr>
            <xdr:cNvPr id="1050" name="Group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3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</xdr:row>
          <xdr:rowOff>0</xdr:rowOff>
        </xdr:from>
        <xdr:to>
          <xdr:col>10</xdr:col>
          <xdr:colOff>0</xdr:colOff>
          <xdr:row>36</xdr:row>
          <xdr:rowOff>571500</xdr:rowOff>
        </xdr:to>
        <xdr:sp macro="" textlink="">
          <xdr:nvSpPr>
            <xdr:cNvPr id="1051" name="Group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3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</xdr:row>
          <xdr:rowOff>0</xdr:rowOff>
        </xdr:from>
        <xdr:to>
          <xdr:col>10</xdr:col>
          <xdr:colOff>0</xdr:colOff>
          <xdr:row>39</xdr:row>
          <xdr:rowOff>323850</xdr:rowOff>
        </xdr:to>
        <xdr:sp macro="" textlink="">
          <xdr:nvSpPr>
            <xdr:cNvPr id="1052" name="Group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3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</xdr:row>
          <xdr:rowOff>19050</xdr:rowOff>
        </xdr:from>
        <xdr:to>
          <xdr:col>10</xdr:col>
          <xdr:colOff>0</xdr:colOff>
          <xdr:row>43</xdr:row>
          <xdr:rowOff>0</xdr:rowOff>
        </xdr:to>
        <xdr:sp macro="" textlink="">
          <xdr:nvSpPr>
            <xdr:cNvPr id="1053" name="Group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3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</xdr:row>
          <xdr:rowOff>19050</xdr:rowOff>
        </xdr:from>
        <xdr:to>
          <xdr:col>10</xdr:col>
          <xdr:colOff>0</xdr:colOff>
          <xdr:row>45</xdr:row>
          <xdr:rowOff>19050</xdr:rowOff>
        </xdr:to>
        <xdr:sp macro="" textlink="">
          <xdr:nvSpPr>
            <xdr:cNvPr id="1054" name="Group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3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</xdr:row>
          <xdr:rowOff>0</xdr:rowOff>
        </xdr:from>
        <xdr:to>
          <xdr:col>10</xdr:col>
          <xdr:colOff>0</xdr:colOff>
          <xdr:row>47</xdr:row>
          <xdr:rowOff>828675</xdr:rowOff>
        </xdr:to>
        <xdr:sp macro="" textlink="">
          <xdr:nvSpPr>
            <xdr:cNvPr id="1055" name="Group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3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28</xdr:row>
          <xdr:rowOff>228600</xdr:rowOff>
        </xdr:from>
        <xdr:to>
          <xdr:col>8</xdr:col>
          <xdr:colOff>704850</xdr:colOff>
          <xdr:row>29</xdr:row>
          <xdr:rowOff>0</xdr:rowOff>
        </xdr:to>
        <xdr:sp macro="" textlink="">
          <xdr:nvSpPr>
            <xdr:cNvPr id="1057" name="Option 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3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29</xdr:row>
          <xdr:rowOff>209550</xdr:rowOff>
        </xdr:from>
        <xdr:to>
          <xdr:col>8</xdr:col>
          <xdr:colOff>704850</xdr:colOff>
          <xdr:row>29</xdr:row>
          <xdr:rowOff>409575</xdr:rowOff>
        </xdr:to>
        <xdr:sp macro="" textlink="">
          <xdr:nvSpPr>
            <xdr:cNvPr id="1058" name="Option 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3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30</xdr:row>
          <xdr:rowOff>180975</xdr:rowOff>
        </xdr:from>
        <xdr:to>
          <xdr:col>8</xdr:col>
          <xdr:colOff>704850</xdr:colOff>
          <xdr:row>30</xdr:row>
          <xdr:rowOff>381000</xdr:rowOff>
        </xdr:to>
        <xdr:sp macro="" textlink="">
          <xdr:nvSpPr>
            <xdr:cNvPr id="1059" name="Option Butto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3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31</xdr:row>
          <xdr:rowOff>180975</xdr:rowOff>
        </xdr:from>
        <xdr:to>
          <xdr:col>8</xdr:col>
          <xdr:colOff>704850</xdr:colOff>
          <xdr:row>31</xdr:row>
          <xdr:rowOff>381000</xdr:rowOff>
        </xdr:to>
        <xdr:sp macro="" textlink="">
          <xdr:nvSpPr>
            <xdr:cNvPr id="1060" name="Option 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3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32</xdr:row>
          <xdr:rowOff>133350</xdr:rowOff>
        </xdr:from>
        <xdr:to>
          <xdr:col>8</xdr:col>
          <xdr:colOff>704850</xdr:colOff>
          <xdr:row>32</xdr:row>
          <xdr:rowOff>323850</xdr:rowOff>
        </xdr:to>
        <xdr:sp macro="" textlink="">
          <xdr:nvSpPr>
            <xdr:cNvPr id="1062" name="Option 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3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33</xdr:row>
          <xdr:rowOff>171450</xdr:rowOff>
        </xdr:from>
        <xdr:to>
          <xdr:col>8</xdr:col>
          <xdr:colOff>704850</xdr:colOff>
          <xdr:row>33</xdr:row>
          <xdr:rowOff>361950</xdr:rowOff>
        </xdr:to>
        <xdr:sp macro="" textlink="">
          <xdr:nvSpPr>
            <xdr:cNvPr id="1063" name="Option 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3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34</xdr:row>
          <xdr:rowOff>171450</xdr:rowOff>
        </xdr:from>
        <xdr:to>
          <xdr:col>8</xdr:col>
          <xdr:colOff>704850</xdr:colOff>
          <xdr:row>34</xdr:row>
          <xdr:rowOff>361950</xdr:rowOff>
        </xdr:to>
        <xdr:sp macro="" textlink="">
          <xdr:nvSpPr>
            <xdr:cNvPr id="1064" name="Option 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3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35</xdr:row>
          <xdr:rowOff>152400</xdr:rowOff>
        </xdr:from>
        <xdr:to>
          <xdr:col>8</xdr:col>
          <xdr:colOff>704850</xdr:colOff>
          <xdr:row>35</xdr:row>
          <xdr:rowOff>361950</xdr:rowOff>
        </xdr:to>
        <xdr:sp macro="" textlink="">
          <xdr:nvSpPr>
            <xdr:cNvPr id="1065" name="Option 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3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36</xdr:row>
          <xdr:rowOff>219075</xdr:rowOff>
        </xdr:from>
        <xdr:to>
          <xdr:col>8</xdr:col>
          <xdr:colOff>704850</xdr:colOff>
          <xdr:row>36</xdr:row>
          <xdr:rowOff>419100</xdr:rowOff>
        </xdr:to>
        <xdr:sp macro="" textlink="">
          <xdr:nvSpPr>
            <xdr:cNvPr id="1066" name="Option Butto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3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37</xdr:row>
          <xdr:rowOff>219075</xdr:rowOff>
        </xdr:from>
        <xdr:to>
          <xdr:col>8</xdr:col>
          <xdr:colOff>704850</xdr:colOff>
          <xdr:row>37</xdr:row>
          <xdr:rowOff>419100</xdr:rowOff>
        </xdr:to>
        <xdr:sp macro="" textlink="">
          <xdr:nvSpPr>
            <xdr:cNvPr id="1069" name="Option Butto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3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38</xdr:row>
          <xdr:rowOff>247650</xdr:rowOff>
        </xdr:from>
        <xdr:to>
          <xdr:col>8</xdr:col>
          <xdr:colOff>704850</xdr:colOff>
          <xdr:row>38</xdr:row>
          <xdr:rowOff>457200</xdr:rowOff>
        </xdr:to>
        <xdr:sp macro="" textlink="">
          <xdr:nvSpPr>
            <xdr:cNvPr id="1070" name="Option Button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3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39</xdr:row>
          <xdr:rowOff>400050</xdr:rowOff>
        </xdr:from>
        <xdr:to>
          <xdr:col>8</xdr:col>
          <xdr:colOff>704850</xdr:colOff>
          <xdr:row>39</xdr:row>
          <xdr:rowOff>600075</xdr:rowOff>
        </xdr:to>
        <xdr:sp macro="" textlink="">
          <xdr:nvSpPr>
            <xdr:cNvPr id="1071" name="Option Butto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3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40</xdr:row>
          <xdr:rowOff>219075</xdr:rowOff>
        </xdr:from>
        <xdr:to>
          <xdr:col>8</xdr:col>
          <xdr:colOff>704850</xdr:colOff>
          <xdr:row>40</xdr:row>
          <xdr:rowOff>438150</xdr:rowOff>
        </xdr:to>
        <xdr:sp macro="" textlink="">
          <xdr:nvSpPr>
            <xdr:cNvPr id="1072" name="Option Button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3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41</xdr:row>
          <xdr:rowOff>304800</xdr:rowOff>
        </xdr:from>
        <xdr:to>
          <xdr:col>8</xdr:col>
          <xdr:colOff>704850</xdr:colOff>
          <xdr:row>41</xdr:row>
          <xdr:rowOff>514350</xdr:rowOff>
        </xdr:to>
        <xdr:sp macro="" textlink="">
          <xdr:nvSpPr>
            <xdr:cNvPr id="1074" name="Option Button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3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42</xdr:row>
          <xdr:rowOff>323850</xdr:rowOff>
        </xdr:from>
        <xdr:to>
          <xdr:col>8</xdr:col>
          <xdr:colOff>704850</xdr:colOff>
          <xdr:row>42</xdr:row>
          <xdr:rowOff>523875</xdr:rowOff>
        </xdr:to>
        <xdr:sp macro="" textlink="">
          <xdr:nvSpPr>
            <xdr:cNvPr id="1075" name="Option Button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3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43</xdr:row>
          <xdr:rowOff>76200</xdr:rowOff>
        </xdr:from>
        <xdr:to>
          <xdr:col>8</xdr:col>
          <xdr:colOff>704850</xdr:colOff>
          <xdr:row>43</xdr:row>
          <xdr:rowOff>285750</xdr:rowOff>
        </xdr:to>
        <xdr:sp macro="" textlink="">
          <xdr:nvSpPr>
            <xdr:cNvPr id="1076" name="Option Butto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3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44</xdr:row>
          <xdr:rowOff>66675</xdr:rowOff>
        </xdr:from>
        <xdr:to>
          <xdr:col>8</xdr:col>
          <xdr:colOff>704850</xdr:colOff>
          <xdr:row>44</xdr:row>
          <xdr:rowOff>285750</xdr:rowOff>
        </xdr:to>
        <xdr:sp macro="" textlink="">
          <xdr:nvSpPr>
            <xdr:cNvPr id="1077" name="Option Butto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3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45</xdr:row>
          <xdr:rowOff>333375</xdr:rowOff>
        </xdr:from>
        <xdr:to>
          <xdr:col>8</xdr:col>
          <xdr:colOff>704850</xdr:colOff>
          <xdr:row>46</xdr:row>
          <xdr:rowOff>0</xdr:rowOff>
        </xdr:to>
        <xdr:sp macro="" textlink="">
          <xdr:nvSpPr>
            <xdr:cNvPr id="1079" name="Option Butto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3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46</xdr:row>
          <xdr:rowOff>285750</xdr:rowOff>
        </xdr:from>
        <xdr:to>
          <xdr:col>8</xdr:col>
          <xdr:colOff>704850</xdr:colOff>
          <xdr:row>46</xdr:row>
          <xdr:rowOff>514350</xdr:rowOff>
        </xdr:to>
        <xdr:sp macro="" textlink="">
          <xdr:nvSpPr>
            <xdr:cNvPr id="1080" name="Option Butto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3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47</xdr:row>
          <xdr:rowOff>295275</xdr:rowOff>
        </xdr:from>
        <xdr:to>
          <xdr:col>8</xdr:col>
          <xdr:colOff>704850</xdr:colOff>
          <xdr:row>47</xdr:row>
          <xdr:rowOff>514350</xdr:rowOff>
        </xdr:to>
        <xdr:sp macro="" textlink="">
          <xdr:nvSpPr>
            <xdr:cNvPr id="1081" name="Option 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3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942975</xdr:colOff>
          <xdr:row>48</xdr:row>
          <xdr:rowOff>209550</xdr:rowOff>
        </xdr:from>
        <xdr:to>
          <xdr:col>8</xdr:col>
          <xdr:colOff>1219200</xdr:colOff>
          <xdr:row>49</xdr:row>
          <xdr:rowOff>28575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3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ISA-Completo">
  <a:themeElements>
    <a:clrScheme name="COLORES ISA">
      <a:dk1>
        <a:srgbClr val="FFFFFF"/>
      </a:dk1>
      <a:lt1>
        <a:srgbClr val="FFFFFF"/>
      </a:lt1>
      <a:dk2>
        <a:srgbClr val="003C69"/>
      </a:dk2>
      <a:lt2>
        <a:srgbClr val="5BC6E8"/>
      </a:lt2>
      <a:accent1>
        <a:srgbClr val="002060"/>
      </a:accent1>
      <a:accent2>
        <a:srgbClr val="5BC6E8"/>
      </a:accent2>
      <a:accent3>
        <a:srgbClr val="616365"/>
      </a:accent3>
      <a:accent4>
        <a:srgbClr val="D5D6D2"/>
      </a:accent4>
      <a:accent5>
        <a:srgbClr val="FFBC3D"/>
      </a:accent5>
      <a:accent6>
        <a:srgbClr val="FDC480"/>
      </a:accent6>
      <a:hlink>
        <a:srgbClr val="FF7900"/>
      </a:hlink>
      <a:folHlink>
        <a:srgbClr val="F9461C"/>
      </a:folHlink>
    </a:clrScheme>
    <a:fontScheme name="ISA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s-ES" sz="18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BC I25 Wide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s-ES" sz="18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BC I25 Wide" pitchFamily="34" charset="0"/>
          </a:defRPr>
        </a:defPPr>
      </a:lstStyle>
    </a:lnDef>
  </a:objectDefaults>
  <a:extraClrSchemeLst>
    <a:extraClrScheme>
      <a:clrScheme name="ISA_DISENO_TITULO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ISA_DISENO_TITULO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ISA_DISENO_TITULO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ISA_DISENO_TITULO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ISA_DISENO_TITULO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ISA_DISENO_TITULO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ISA_DISENO_TITULO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0.xml"/><Relationship Id="rId18" Type="http://schemas.openxmlformats.org/officeDocument/2006/relationships/ctrlProp" Target="../ctrlProps/ctrlProp35.xml"/><Relationship Id="rId26" Type="http://schemas.openxmlformats.org/officeDocument/2006/relationships/ctrlProp" Target="../ctrlProps/ctrlProp4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8.xml"/><Relationship Id="rId34" Type="http://schemas.openxmlformats.org/officeDocument/2006/relationships/ctrlProp" Target="../ctrlProps/ctrlProp51.xml"/><Relationship Id="rId7" Type="http://schemas.openxmlformats.org/officeDocument/2006/relationships/ctrlProp" Target="../ctrlProps/ctrlProp24.xml"/><Relationship Id="rId12" Type="http://schemas.openxmlformats.org/officeDocument/2006/relationships/ctrlProp" Target="../ctrlProps/ctrlProp29.xml"/><Relationship Id="rId17" Type="http://schemas.openxmlformats.org/officeDocument/2006/relationships/ctrlProp" Target="../ctrlProps/ctrlProp34.xml"/><Relationship Id="rId25" Type="http://schemas.openxmlformats.org/officeDocument/2006/relationships/ctrlProp" Target="../ctrlProps/ctrlProp42.xml"/><Relationship Id="rId33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3.xml"/><Relationship Id="rId20" Type="http://schemas.openxmlformats.org/officeDocument/2006/relationships/ctrlProp" Target="../ctrlProps/ctrlProp37.xml"/><Relationship Id="rId29" Type="http://schemas.openxmlformats.org/officeDocument/2006/relationships/ctrlProp" Target="../ctrlProps/ctrlProp4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24" Type="http://schemas.openxmlformats.org/officeDocument/2006/relationships/ctrlProp" Target="../ctrlProps/ctrlProp41.xml"/><Relationship Id="rId32" Type="http://schemas.openxmlformats.org/officeDocument/2006/relationships/ctrlProp" Target="../ctrlProps/ctrlProp49.xml"/><Relationship Id="rId5" Type="http://schemas.openxmlformats.org/officeDocument/2006/relationships/ctrlProp" Target="../ctrlProps/ctrlProp22.xml"/><Relationship Id="rId15" Type="http://schemas.openxmlformats.org/officeDocument/2006/relationships/ctrlProp" Target="../ctrlProps/ctrlProp32.xml"/><Relationship Id="rId23" Type="http://schemas.openxmlformats.org/officeDocument/2006/relationships/ctrlProp" Target="../ctrlProps/ctrlProp40.xml"/><Relationship Id="rId28" Type="http://schemas.openxmlformats.org/officeDocument/2006/relationships/ctrlProp" Target="../ctrlProps/ctrlProp45.xml"/><Relationship Id="rId36" Type="http://schemas.openxmlformats.org/officeDocument/2006/relationships/ctrlProp" Target="../ctrlProps/ctrlProp53.xml"/><Relationship Id="rId10" Type="http://schemas.openxmlformats.org/officeDocument/2006/relationships/ctrlProp" Target="../ctrlProps/ctrlProp27.xml"/><Relationship Id="rId19" Type="http://schemas.openxmlformats.org/officeDocument/2006/relationships/ctrlProp" Target="../ctrlProps/ctrlProp36.xml"/><Relationship Id="rId31" Type="http://schemas.openxmlformats.org/officeDocument/2006/relationships/ctrlProp" Target="../ctrlProps/ctrlProp48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Relationship Id="rId14" Type="http://schemas.openxmlformats.org/officeDocument/2006/relationships/ctrlProp" Target="../ctrlProps/ctrlProp31.xml"/><Relationship Id="rId22" Type="http://schemas.openxmlformats.org/officeDocument/2006/relationships/ctrlProp" Target="../ctrlProps/ctrlProp39.xml"/><Relationship Id="rId27" Type="http://schemas.openxmlformats.org/officeDocument/2006/relationships/ctrlProp" Target="../ctrlProps/ctrlProp44.xml"/><Relationship Id="rId30" Type="http://schemas.openxmlformats.org/officeDocument/2006/relationships/ctrlProp" Target="../ctrlProps/ctrlProp47.xml"/><Relationship Id="rId35" Type="http://schemas.openxmlformats.org/officeDocument/2006/relationships/ctrlProp" Target="../ctrlProps/ctrlProp52.xml"/><Relationship Id="rId8" Type="http://schemas.openxmlformats.org/officeDocument/2006/relationships/ctrlProp" Target="../ctrlProps/ctrlProp2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3.xml"/><Relationship Id="rId18" Type="http://schemas.openxmlformats.org/officeDocument/2006/relationships/ctrlProp" Target="../ctrlProps/ctrlProp68.xml"/><Relationship Id="rId26" Type="http://schemas.openxmlformats.org/officeDocument/2006/relationships/ctrlProp" Target="../ctrlProps/ctrlProp76.xml"/><Relationship Id="rId39" Type="http://schemas.openxmlformats.org/officeDocument/2006/relationships/ctrlProp" Target="../ctrlProps/ctrlProp89.xml"/><Relationship Id="rId21" Type="http://schemas.openxmlformats.org/officeDocument/2006/relationships/ctrlProp" Target="../ctrlProps/ctrlProp71.xml"/><Relationship Id="rId34" Type="http://schemas.openxmlformats.org/officeDocument/2006/relationships/ctrlProp" Target="../ctrlProps/ctrlProp84.xml"/><Relationship Id="rId42" Type="http://schemas.openxmlformats.org/officeDocument/2006/relationships/ctrlProp" Target="../ctrlProps/ctrlProp92.xml"/><Relationship Id="rId7" Type="http://schemas.openxmlformats.org/officeDocument/2006/relationships/ctrlProp" Target="../ctrlProps/ctrlProp57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66.xml"/><Relationship Id="rId20" Type="http://schemas.openxmlformats.org/officeDocument/2006/relationships/ctrlProp" Target="../ctrlProps/ctrlProp70.xml"/><Relationship Id="rId29" Type="http://schemas.openxmlformats.org/officeDocument/2006/relationships/ctrlProp" Target="../ctrlProps/ctrlProp79.xml"/><Relationship Id="rId41" Type="http://schemas.openxmlformats.org/officeDocument/2006/relationships/ctrlProp" Target="../ctrlProps/ctrlProp9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6.xml"/><Relationship Id="rId11" Type="http://schemas.openxmlformats.org/officeDocument/2006/relationships/ctrlProp" Target="../ctrlProps/ctrlProp61.xml"/><Relationship Id="rId24" Type="http://schemas.openxmlformats.org/officeDocument/2006/relationships/ctrlProp" Target="../ctrlProps/ctrlProp74.xml"/><Relationship Id="rId32" Type="http://schemas.openxmlformats.org/officeDocument/2006/relationships/ctrlProp" Target="../ctrlProps/ctrlProp82.xml"/><Relationship Id="rId37" Type="http://schemas.openxmlformats.org/officeDocument/2006/relationships/ctrlProp" Target="../ctrlProps/ctrlProp87.xml"/><Relationship Id="rId40" Type="http://schemas.openxmlformats.org/officeDocument/2006/relationships/ctrlProp" Target="../ctrlProps/ctrlProp90.xml"/><Relationship Id="rId5" Type="http://schemas.openxmlformats.org/officeDocument/2006/relationships/ctrlProp" Target="../ctrlProps/ctrlProp55.xml"/><Relationship Id="rId15" Type="http://schemas.openxmlformats.org/officeDocument/2006/relationships/ctrlProp" Target="../ctrlProps/ctrlProp65.xml"/><Relationship Id="rId23" Type="http://schemas.openxmlformats.org/officeDocument/2006/relationships/ctrlProp" Target="../ctrlProps/ctrlProp73.xml"/><Relationship Id="rId28" Type="http://schemas.openxmlformats.org/officeDocument/2006/relationships/ctrlProp" Target="../ctrlProps/ctrlProp78.xml"/><Relationship Id="rId36" Type="http://schemas.openxmlformats.org/officeDocument/2006/relationships/ctrlProp" Target="../ctrlProps/ctrlProp86.xml"/><Relationship Id="rId10" Type="http://schemas.openxmlformats.org/officeDocument/2006/relationships/ctrlProp" Target="../ctrlProps/ctrlProp60.xml"/><Relationship Id="rId19" Type="http://schemas.openxmlformats.org/officeDocument/2006/relationships/ctrlProp" Target="../ctrlProps/ctrlProp69.xml"/><Relationship Id="rId31" Type="http://schemas.openxmlformats.org/officeDocument/2006/relationships/ctrlProp" Target="../ctrlProps/ctrlProp81.xml"/><Relationship Id="rId4" Type="http://schemas.openxmlformats.org/officeDocument/2006/relationships/ctrlProp" Target="../ctrlProps/ctrlProp54.xml"/><Relationship Id="rId9" Type="http://schemas.openxmlformats.org/officeDocument/2006/relationships/ctrlProp" Target="../ctrlProps/ctrlProp59.xml"/><Relationship Id="rId14" Type="http://schemas.openxmlformats.org/officeDocument/2006/relationships/ctrlProp" Target="../ctrlProps/ctrlProp64.xml"/><Relationship Id="rId22" Type="http://schemas.openxmlformats.org/officeDocument/2006/relationships/ctrlProp" Target="../ctrlProps/ctrlProp72.xml"/><Relationship Id="rId27" Type="http://schemas.openxmlformats.org/officeDocument/2006/relationships/ctrlProp" Target="../ctrlProps/ctrlProp77.xml"/><Relationship Id="rId30" Type="http://schemas.openxmlformats.org/officeDocument/2006/relationships/ctrlProp" Target="../ctrlProps/ctrlProp80.xml"/><Relationship Id="rId35" Type="http://schemas.openxmlformats.org/officeDocument/2006/relationships/ctrlProp" Target="../ctrlProps/ctrlProp85.xml"/><Relationship Id="rId43" Type="http://schemas.openxmlformats.org/officeDocument/2006/relationships/ctrlProp" Target="../ctrlProps/ctrlProp93.xml"/><Relationship Id="rId8" Type="http://schemas.openxmlformats.org/officeDocument/2006/relationships/ctrlProp" Target="../ctrlProps/ctrlProp58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62.xml"/><Relationship Id="rId17" Type="http://schemas.openxmlformats.org/officeDocument/2006/relationships/ctrlProp" Target="../ctrlProps/ctrlProp67.xml"/><Relationship Id="rId25" Type="http://schemas.openxmlformats.org/officeDocument/2006/relationships/ctrlProp" Target="../ctrlProps/ctrlProp75.xml"/><Relationship Id="rId33" Type="http://schemas.openxmlformats.org/officeDocument/2006/relationships/ctrlProp" Target="../ctrlProps/ctrlProp83.xml"/><Relationship Id="rId38" Type="http://schemas.openxmlformats.org/officeDocument/2006/relationships/ctrlProp" Target="../ctrlProps/ctrlProp8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M47"/>
  <sheetViews>
    <sheetView showGridLines="0" topLeftCell="A32" zoomScale="85" zoomScaleNormal="85" workbookViewId="0">
      <selection activeCell="C20" sqref="C20:F20"/>
    </sheetView>
  </sheetViews>
  <sheetFormatPr defaultColWidth="11" defaultRowHeight="14.25" x14ac:dyDescent="0.2"/>
  <cols>
    <col min="1" max="1" width="20" style="31" customWidth="1"/>
    <col min="2" max="2" width="22.625" style="31" customWidth="1"/>
    <col min="3" max="3" width="12.125" style="31" customWidth="1"/>
    <col min="4" max="4" width="14.25" style="31" customWidth="1"/>
    <col min="5" max="5" width="11" style="31"/>
    <col min="6" max="6" width="33.25" style="31" customWidth="1"/>
    <col min="7" max="7" width="13.75" style="31" customWidth="1"/>
    <col min="8" max="8" width="11" style="31"/>
    <col min="9" max="9" width="11.25" style="31" customWidth="1"/>
    <col min="10" max="13" width="11" style="31"/>
  </cols>
  <sheetData>
    <row r="1" spans="1:9" ht="56.25" customHeight="1" thickBot="1" x14ac:dyDescent="0.25">
      <c r="A1" s="146" t="s">
        <v>0</v>
      </c>
      <c r="B1" s="147"/>
      <c r="C1" s="147"/>
      <c r="D1" s="147"/>
      <c r="E1" s="147"/>
      <c r="F1" s="147"/>
      <c r="G1" s="147"/>
      <c r="H1" s="147"/>
      <c r="I1" s="148"/>
    </row>
    <row r="2" spans="1:9" ht="15" thickBot="1" x14ac:dyDescent="0.25"/>
    <row r="3" spans="1:9" x14ac:dyDescent="0.2">
      <c r="A3" s="182" t="s">
        <v>1</v>
      </c>
      <c r="B3" s="183"/>
      <c r="C3" s="183"/>
      <c r="D3" s="184"/>
      <c r="E3" s="185"/>
      <c r="F3" s="185"/>
      <c r="G3" s="94" t="s">
        <v>2</v>
      </c>
      <c r="H3" s="186"/>
      <c r="I3" s="187"/>
    </row>
    <row r="4" spans="1:9" ht="15" thickBot="1" x14ac:dyDescent="0.25">
      <c r="A4" s="149" t="s">
        <v>3</v>
      </c>
      <c r="B4" s="150"/>
      <c r="C4" s="150"/>
      <c r="D4" s="151"/>
      <c r="E4" s="151"/>
      <c r="F4" s="151"/>
      <c r="G4" s="96" t="s">
        <v>4</v>
      </c>
      <c r="H4" s="152"/>
      <c r="I4" s="153"/>
    </row>
    <row r="5" spans="1:9" ht="15" thickBot="1" x14ac:dyDescent="0.25"/>
    <row r="6" spans="1:9" ht="38.25" x14ac:dyDescent="0.2">
      <c r="A6" s="165" t="s">
        <v>5</v>
      </c>
      <c r="B6" s="166"/>
      <c r="C6" s="166"/>
      <c r="D6" s="166"/>
      <c r="E6" s="166"/>
      <c r="F6" s="166"/>
      <c r="G6" s="167"/>
      <c r="H6" s="66"/>
      <c r="I6" s="24" t="s">
        <v>6</v>
      </c>
    </row>
    <row r="7" spans="1:9" ht="26.25" thickBot="1" x14ac:dyDescent="0.25">
      <c r="A7" s="95" t="s">
        <v>7</v>
      </c>
      <c r="B7" s="159"/>
      <c r="C7" s="160"/>
      <c r="D7" s="96" t="s">
        <v>8</v>
      </c>
      <c r="E7" s="28"/>
      <c r="F7" s="96" t="s">
        <v>9</v>
      </c>
      <c r="G7" s="57"/>
      <c r="H7" s="66"/>
      <c r="I7" s="67"/>
    </row>
    <row r="8" spans="1:9" ht="15" thickBot="1" x14ac:dyDescent="0.25"/>
    <row r="9" spans="1:9" x14ac:dyDescent="0.2">
      <c r="A9" s="168" t="s">
        <v>10</v>
      </c>
      <c r="B9" s="169"/>
      <c r="C9" s="169"/>
      <c r="D9" s="169"/>
      <c r="E9" s="169"/>
      <c r="F9" s="169"/>
      <c r="G9" s="169"/>
      <c r="H9" s="169"/>
      <c r="I9" s="170"/>
    </row>
    <row r="10" spans="1:9" x14ac:dyDescent="0.2">
      <c r="A10" s="17" t="s">
        <v>11</v>
      </c>
      <c r="B10" s="161"/>
      <c r="C10" s="162"/>
      <c r="D10" s="16" t="s">
        <v>12</v>
      </c>
      <c r="E10" s="171"/>
      <c r="F10" s="172"/>
      <c r="G10" s="16" t="s">
        <v>13</v>
      </c>
      <c r="H10" s="171"/>
      <c r="I10" s="173"/>
    </row>
    <row r="11" spans="1:9" ht="15" thickBot="1" x14ac:dyDescent="0.25">
      <c r="A11" s="95" t="s">
        <v>14</v>
      </c>
      <c r="B11" s="159"/>
      <c r="C11" s="160"/>
      <c r="D11" s="96" t="s">
        <v>15</v>
      </c>
      <c r="E11" s="152"/>
      <c r="F11" s="174"/>
      <c r="G11" s="96" t="s">
        <v>16</v>
      </c>
      <c r="H11" s="152"/>
      <c r="I11" s="153"/>
    </row>
    <row r="12" spans="1:9" x14ac:dyDescent="0.2">
      <c r="A12" s="65" t="s">
        <v>17</v>
      </c>
      <c r="B12" s="64"/>
      <c r="C12" s="175"/>
      <c r="D12" s="175"/>
      <c r="E12" s="175"/>
      <c r="F12" s="175"/>
      <c r="G12" s="175"/>
      <c r="H12" s="175"/>
      <c r="I12" s="176"/>
    </row>
    <row r="13" spans="1:9" ht="15" thickBot="1" x14ac:dyDescent="0.25">
      <c r="A13" s="177"/>
      <c r="B13" s="178"/>
      <c r="C13" s="178"/>
      <c r="D13" s="178"/>
      <c r="E13" s="178"/>
      <c r="F13" s="178"/>
      <c r="G13" s="178"/>
      <c r="H13" s="178"/>
      <c r="I13" s="179"/>
    </row>
    <row r="14" spans="1:9" ht="15" thickBot="1" x14ac:dyDescent="0.25"/>
    <row r="15" spans="1:9" x14ac:dyDescent="0.2">
      <c r="A15" s="168" t="s">
        <v>18</v>
      </c>
      <c r="B15" s="169"/>
      <c r="C15" s="169"/>
      <c r="D15" s="169"/>
      <c r="E15" s="169"/>
      <c r="F15" s="169"/>
      <c r="G15" s="169"/>
      <c r="H15" s="169"/>
      <c r="I15" s="170"/>
    </row>
    <row r="16" spans="1:9" ht="25.5" customHeight="1" thickBot="1" x14ac:dyDescent="0.25">
      <c r="A16" s="163" t="s">
        <v>19</v>
      </c>
      <c r="B16" s="164"/>
      <c r="C16" s="180" t="s">
        <v>20</v>
      </c>
      <c r="D16" s="181"/>
      <c r="E16" s="181"/>
      <c r="F16" s="181"/>
      <c r="G16" s="68" t="s">
        <v>21</v>
      </c>
      <c r="H16" s="68" t="s">
        <v>22</v>
      </c>
      <c r="I16" s="69" t="s">
        <v>23</v>
      </c>
    </row>
    <row r="17" spans="1:9" ht="37.5" customHeight="1" x14ac:dyDescent="0.2">
      <c r="A17" s="156" t="s">
        <v>24</v>
      </c>
      <c r="B17" s="154" t="s">
        <v>25</v>
      </c>
      <c r="C17" s="197" t="s">
        <v>26</v>
      </c>
      <c r="D17" s="197"/>
      <c r="E17" s="197"/>
      <c r="F17" s="197"/>
      <c r="G17" s="203" t="s">
        <v>27</v>
      </c>
      <c r="H17" s="62"/>
      <c r="I17" s="192">
        <f>+Datos!G50</f>
        <v>17.5</v>
      </c>
    </row>
    <row r="18" spans="1:9" ht="37.5" customHeight="1" x14ac:dyDescent="0.2">
      <c r="A18" s="157"/>
      <c r="B18" s="155"/>
      <c r="C18" s="191" t="s">
        <v>28</v>
      </c>
      <c r="D18" s="191"/>
      <c r="E18" s="191"/>
      <c r="F18" s="191"/>
      <c r="G18" s="204"/>
      <c r="H18" s="60"/>
      <c r="I18" s="193"/>
    </row>
    <row r="19" spans="1:9" ht="37.5" customHeight="1" thickBot="1" x14ac:dyDescent="0.25">
      <c r="A19" s="157"/>
      <c r="B19" s="155"/>
      <c r="C19" s="191" t="s">
        <v>29</v>
      </c>
      <c r="D19" s="191"/>
      <c r="E19" s="191"/>
      <c r="F19" s="191"/>
      <c r="G19" s="204"/>
      <c r="H19" s="61"/>
      <c r="I19" s="194"/>
    </row>
    <row r="20" spans="1:9" ht="37.5" customHeight="1" x14ac:dyDescent="0.2">
      <c r="A20" s="157"/>
      <c r="B20" s="225" t="s">
        <v>30</v>
      </c>
      <c r="C20" s="197" t="s">
        <v>31</v>
      </c>
      <c r="D20" s="197"/>
      <c r="E20" s="197"/>
      <c r="F20" s="197"/>
      <c r="G20" s="203" t="s">
        <v>27</v>
      </c>
      <c r="H20" s="62"/>
      <c r="I20" s="188">
        <f>+Datos!G51</f>
        <v>17.5</v>
      </c>
    </row>
    <row r="21" spans="1:9" ht="37.5" customHeight="1" x14ac:dyDescent="0.2">
      <c r="A21" s="157"/>
      <c r="B21" s="226"/>
      <c r="C21" s="191" t="s">
        <v>32</v>
      </c>
      <c r="D21" s="191"/>
      <c r="E21" s="191"/>
      <c r="F21" s="191"/>
      <c r="G21" s="204"/>
      <c r="H21" s="60"/>
      <c r="I21" s="189"/>
    </row>
    <row r="22" spans="1:9" ht="42.75" customHeight="1" thickBot="1" x14ac:dyDescent="0.25">
      <c r="A22" s="158"/>
      <c r="B22" s="227"/>
      <c r="C22" s="202" t="s">
        <v>33</v>
      </c>
      <c r="D22" s="202"/>
      <c r="E22" s="202"/>
      <c r="F22" s="202"/>
      <c r="G22" s="243"/>
      <c r="H22" s="61"/>
      <c r="I22" s="201"/>
    </row>
    <row r="23" spans="1:9" ht="37.5" customHeight="1" x14ac:dyDescent="0.2">
      <c r="A23" s="221" t="s">
        <v>34</v>
      </c>
      <c r="B23" s="223" t="s">
        <v>35</v>
      </c>
      <c r="C23" s="197" t="s">
        <v>36</v>
      </c>
      <c r="D23" s="197"/>
      <c r="E23" s="197"/>
      <c r="F23" s="197"/>
      <c r="G23" s="203" t="s">
        <v>27</v>
      </c>
      <c r="H23" s="62"/>
      <c r="I23" s="188">
        <f>+Datos!G52</f>
        <v>35</v>
      </c>
    </row>
    <row r="24" spans="1:9" ht="37.5" customHeight="1" x14ac:dyDescent="0.2">
      <c r="A24" s="222"/>
      <c r="B24" s="224"/>
      <c r="C24" s="191" t="s">
        <v>37</v>
      </c>
      <c r="D24" s="191"/>
      <c r="E24" s="191"/>
      <c r="F24" s="191"/>
      <c r="G24" s="204"/>
      <c r="H24" s="60"/>
      <c r="I24" s="189"/>
    </row>
    <row r="25" spans="1:9" ht="37.5" customHeight="1" thickBot="1" x14ac:dyDescent="0.25">
      <c r="A25" s="222"/>
      <c r="B25" s="224"/>
      <c r="C25" s="191" t="s">
        <v>38</v>
      </c>
      <c r="D25" s="191"/>
      <c r="E25" s="191"/>
      <c r="F25" s="191"/>
      <c r="G25" s="204"/>
      <c r="H25" s="60"/>
      <c r="I25" s="190"/>
    </row>
    <row r="26" spans="1:9" ht="37.5" customHeight="1" x14ac:dyDescent="0.2">
      <c r="A26" s="156" t="s">
        <v>39</v>
      </c>
      <c r="B26" s="182" t="s">
        <v>40</v>
      </c>
      <c r="C26" s="197" t="s">
        <v>41</v>
      </c>
      <c r="D26" s="197"/>
      <c r="E26" s="197"/>
      <c r="F26" s="197"/>
      <c r="G26" s="198" t="s">
        <v>42</v>
      </c>
      <c r="H26" s="62"/>
      <c r="I26" s="200">
        <f>+Datos!G53</f>
        <v>15</v>
      </c>
    </row>
    <row r="27" spans="1:9" ht="37.5" customHeight="1" thickBot="1" x14ac:dyDescent="0.25">
      <c r="A27" s="157"/>
      <c r="B27" s="149"/>
      <c r="C27" s="202" t="s">
        <v>43</v>
      </c>
      <c r="D27" s="202"/>
      <c r="E27" s="202"/>
      <c r="F27" s="202"/>
      <c r="G27" s="199"/>
      <c r="H27" s="61"/>
      <c r="I27" s="201"/>
    </row>
    <row r="28" spans="1:9" ht="37.5" customHeight="1" x14ac:dyDescent="0.2">
      <c r="A28" s="157"/>
      <c r="B28" s="182" t="s">
        <v>44</v>
      </c>
      <c r="C28" s="197" t="s">
        <v>45</v>
      </c>
      <c r="D28" s="197"/>
      <c r="E28" s="197"/>
      <c r="F28" s="197"/>
      <c r="G28" s="205" t="s">
        <v>46</v>
      </c>
      <c r="H28" s="62"/>
      <c r="I28" s="188">
        <f>+Datos!G54</f>
        <v>15</v>
      </c>
    </row>
    <row r="29" spans="1:9" ht="37.5" customHeight="1" x14ac:dyDescent="0.2">
      <c r="A29" s="157"/>
      <c r="B29" s="208"/>
      <c r="C29" s="191" t="s">
        <v>47</v>
      </c>
      <c r="D29" s="191"/>
      <c r="E29" s="191"/>
      <c r="F29" s="191"/>
      <c r="G29" s="206"/>
      <c r="H29" s="60"/>
      <c r="I29" s="189"/>
    </row>
    <row r="30" spans="1:9" ht="37.5" customHeight="1" thickBot="1" x14ac:dyDescent="0.25">
      <c r="A30" s="158"/>
      <c r="B30" s="149"/>
      <c r="C30" s="202" t="s">
        <v>48</v>
      </c>
      <c r="D30" s="202"/>
      <c r="E30" s="202"/>
      <c r="F30" s="202"/>
      <c r="G30" s="207"/>
      <c r="H30" s="61"/>
      <c r="I30" s="201"/>
    </row>
    <row r="31" spans="1:9" ht="60" customHeight="1" thickBot="1" x14ac:dyDescent="0.25">
      <c r="A31" s="71" t="s">
        <v>49</v>
      </c>
      <c r="B31" s="70" t="s">
        <v>49</v>
      </c>
      <c r="C31" s="250" t="s">
        <v>50</v>
      </c>
      <c r="D31" s="250"/>
      <c r="E31" s="250"/>
      <c r="F31" s="250"/>
      <c r="G31" s="58" t="s">
        <v>51</v>
      </c>
      <c r="H31" s="251"/>
      <c r="I31" s="252"/>
    </row>
    <row r="32" spans="1:9" ht="15" thickBot="1" x14ac:dyDescent="0.25"/>
    <row r="33" spans="1:9" ht="15" thickBot="1" x14ac:dyDescent="0.25">
      <c r="A33" s="213" t="s">
        <v>52</v>
      </c>
      <c r="B33" s="214"/>
      <c r="C33" s="214"/>
      <c r="D33" s="215"/>
      <c r="E33" s="66"/>
      <c r="F33" s="216" t="s">
        <v>53</v>
      </c>
      <c r="G33" s="217"/>
      <c r="H33" s="217"/>
      <c r="I33" s="218"/>
    </row>
    <row r="34" spans="1:9" ht="25.5" x14ac:dyDescent="0.2">
      <c r="A34" s="211" t="s">
        <v>54</v>
      </c>
      <c r="B34" s="212"/>
      <c r="C34" s="93" t="s">
        <v>55</v>
      </c>
      <c r="D34" s="84" t="s">
        <v>56</v>
      </c>
      <c r="E34" s="66"/>
      <c r="F34" s="230"/>
      <c r="G34" s="231"/>
      <c r="H34" s="231"/>
      <c r="I34" s="232"/>
    </row>
    <row r="35" spans="1:9" x14ac:dyDescent="0.2">
      <c r="A35" s="209" t="s">
        <v>57</v>
      </c>
      <c r="B35" s="210"/>
      <c r="C35" s="82">
        <v>30</v>
      </c>
      <c r="D35" s="83">
        <f>+Datos!D58</f>
        <v>30</v>
      </c>
      <c r="E35" s="66"/>
      <c r="F35" s="233"/>
      <c r="G35" s="234"/>
      <c r="H35" s="234"/>
      <c r="I35" s="235"/>
    </row>
    <row r="36" spans="1:9" x14ac:dyDescent="0.2">
      <c r="A36" s="209" t="s">
        <v>58</v>
      </c>
      <c r="B36" s="210"/>
      <c r="C36" s="82">
        <v>35</v>
      </c>
      <c r="D36" s="83">
        <f>+Datos!D59</f>
        <v>35</v>
      </c>
      <c r="E36" s="66"/>
      <c r="F36" s="233"/>
      <c r="G36" s="234"/>
      <c r="H36" s="234"/>
      <c r="I36" s="235"/>
    </row>
    <row r="37" spans="1:9" x14ac:dyDescent="0.2">
      <c r="A37" s="209" t="s">
        <v>59</v>
      </c>
      <c r="B37" s="210"/>
      <c r="C37" s="82">
        <v>35</v>
      </c>
      <c r="D37" s="83">
        <f>+Datos!D60</f>
        <v>35</v>
      </c>
      <c r="E37" s="66"/>
      <c r="F37" s="233"/>
      <c r="G37" s="234"/>
      <c r="H37" s="234"/>
      <c r="I37" s="235"/>
    </row>
    <row r="38" spans="1:9" ht="15" thickBot="1" x14ac:dyDescent="0.25">
      <c r="A38" s="195" t="s">
        <v>60</v>
      </c>
      <c r="B38" s="196"/>
      <c r="C38" s="89">
        <v>100</v>
      </c>
      <c r="D38" s="90">
        <f>SUM(D35:D37)</f>
        <v>100</v>
      </c>
      <c r="E38" s="66"/>
      <c r="F38" s="233"/>
      <c r="G38" s="234"/>
      <c r="H38" s="234"/>
      <c r="I38" s="235"/>
    </row>
    <row r="39" spans="1:9" ht="9" customHeight="1" thickBot="1" x14ac:dyDescent="0.25">
      <c r="E39" s="66"/>
      <c r="F39" s="233"/>
      <c r="G39" s="234"/>
      <c r="H39" s="234"/>
      <c r="I39" s="235"/>
    </row>
    <row r="40" spans="1:9" x14ac:dyDescent="0.2">
      <c r="A40" s="219" t="s">
        <v>61</v>
      </c>
      <c r="B40" s="220"/>
      <c r="C40" s="245" t="b">
        <f>+Datos!C55</f>
        <v>0</v>
      </c>
      <c r="D40" s="246"/>
      <c r="E40" s="66"/>
      <c r="F40" s="233"/>
      <c r="G40" s="234"/>
      <c r="H40" s="234"/>
      <c r="I40" s="235"/>
    </row>
    <row r="41" spans="1:9" ht="15" thickBot="1" x14ac:dyDescent="0.25">
      <c r="A41" s="228" t="s">
        <v>62</v>
      </c>
      <c r="B41" s="229"/>
      <c r="C41" s="87">
        <v>100</v>
      </c>
      <c r="D41" s="88">
        <f>IF(C40,0,D38)</f>
        <v>100</v>
      </c>
      <c r="F41" s="236"/>
      <c r="G41" s="237"/>
      <c r="H41" s="237"/>
      <c r="I41" s="238"/>
    </row>
    <row r="42" spans="1:9" ht="15" thickBot="1" x14ac:dyDescent="0.25"/>
    <row r="43" spans="1:9" x14ac:dyDescent="0.2">
      <c r="A43" s="168" t="s">
        <v>63</v>
      </c>
      <c r="B43" s="169"/>
      <c r="C43" s="169"/>
      <c r="D43" s="169"/>
      <c r="E43" s="253"/>
      <c r="F43" s="166" t="s">
        <v>64</v>
      </c>
      <c r="G43" s="166"/>
      <c r="H43" s="166"/>
      <c r="I43" s="167"/>
    </row>
    <row r="44" spans="1:9" x14ac:dyDescent="0.2">
      <c r="A44" s="17" t="s">
        <v>65</v>
      </c>
      <c r="B44" s="161"/>
      <c r="C44" s="242"/>
      <c r="D44" s="242"/>
      <c r="E44" s="162"/>
      <c r="F44" s="16" t="s">
        <v>65</v>
      </c>
      <c r="G44" s="171"/>
      <c r="H44" s="244"/>
      <c r="I44" s="173"/>
    </row>
    <row r="45" spans="1:9" x14ac:dyDescent="0.2">
      <c r="A45" s="17" t="s">
        <v>66</v>
      </c>
      <c r="B45" s="161"/>
      <c r="C45" s="242"/>
      <c r="D45" s="242"/>
      <c r="E45" s="162"/>
      <c r="F45" s="16" t="s">
        <v>66</v>
      </c>
      <c r="G45" s="171"/>
      <c r="H45" s="244"/>
      <c r="I45" s="173"/>
    </row>
    <row r="46" spans="1:9" x14ac:dyDescent="0.2">
      <c r="A46" s="22" t="s">
        <v>67</v>
      </c>
      <c r="B46" s="92"/>
      <c r="C46" s="247"/>
      <c r="D46" s="247"/>
      <c r="E46" s="248"/>
      <c r="F46" s="2" t="s">
        <v>67</v>
      </c>
      <c r="G46" s="247"/>
      <c r="H46" s="247"/>
      <c r="I46" s="249"/>
    </row>
    <row r="47" spans="1:9" ht="15" thickBot="1" x14ac:dyDescent="0.25">
      <c r="A47" s="177"/>
      <c r="B47" s="178"/>
      <c r="C47" s="178"/>
      <c r="D47" s="178"/>
      <c r="E47" s="239"/>
      <c r="F47" s="240"/>
      <c r="G47" s="240"/>
      <c r="H47" s="240"/>
      <c r="I47" s="241"/>
    </row>
  </sheetData>
  <mergeCells count="76">
    <mergeCell ref="A41:B41"/>
    <mergeCell ref="F34:I41"/>
    <mergeCell ref="I20:I22"/>
    <mergeCell ref="A47:E47"/>
    <mergeCell ref="F47:I47"/>
    <mergeCell ref="B45:E45"/>
    <mergeCell ref="G20:G22"/>
    <mergeCell ref="G45:I45"/>
    <mergeCell ref="G44:I44"/>
    <mergeCell ref="C40:D40"/>
    <mergeCell ref="B44:E44"/>
    <mergeCell ref="C46:E46"/>
    <mergeCell ref="G46:I46"/>
    <mergeCell ref="C31:F31"/>
    <mergeCell ref="H31:I31"/>
    <mergeCell ref="A43:E43"/>
    <mergeCell ref="A23:A25"/>
    <mergeCell ref="G17:G19"/>
    <mergeCell ref="C20:F20"/>
    <mergeCell ref="C21:F21"/>
    <mergeCell ref="C22:F22"/>
    <mergeCell ref="C17:F17"/>
    <mergeCell ref="C25:F25"/>
    <mergeCell ref="C23:F23"/>
    <mergeCell ref="B23:B25"/>
    <mergeCell ref="B20:B22"/>
    <mergeCell ref="F43:I43"/>
    <mergeCell ref="A26:A30"/>
    <mergeCell ref="G23:G25"/>
    <mergeCell ref="C28:F28"/>
    <mergeCell ref="G28:G30"/>
    <mergeCell ref="I28:I30"/>
    <mergeCell ref="C29:F29"/>
    <mergeCell ref="C30:F30"/>
    <mergeCell ref="B28:B30"/>
    <mergeCell ref="A36:B36"/>
    <mergeCell ref="A34:B34"/>
    <mergeCell ref="A33:D33"/>
    <mergeCell ref="F33:I33"/>
    <mergeCell ref="A35:B35"/>
    <mergeCell ref="A37:B37"/>
    <mergeCell ref="A40:B40"/>
    <mergeCell ref="A38:B38"/>
    <mergeCell ref="C26:F26"/>
    <mergeCell ref="G26:G27"/>
    <mergeCell ref="I26:I27"/>
    <mergeCell ref="C27:F27"/>
    <mergeCell ref="B26:B27"/>
    <mergeCell ref="I23:I25"/>
    <mergeCell ref="C24:F24"/>
    <mergeCell ref="I17:I19"/>
    <mergeCell ref="C18:F18"/>
    <mergeCell ref="C19:F19"/>
    <mergeCell ref="C12:I12"/>
    <mergeCell ref="A13:I13"/>
    <mergeCell ref="A15:I15"/>
    <mergeCell ref="C16:F16"/>
    <mergeCell ref="A3:C3"/>
    <mergeCell ref="D3:F3"/>
    <mergeCell ref="H3:I3"/>
    <mergeCell ref="A1:I1"/>
    <mergeCell ref="A4:C4"/>
    <mergeCell ref="D4:F4"/>
    <mergeCell ref="H4:I4"/>
    <mergeCell ref="B17:B19"/>
    <mergeCell ref="A17:A22"/>
    <mergeCell ref="B7:C7"/>
    <mergeCell ref="B10:C10"/>
    <mergeCell ref="B11:C11"/>
    <mergeCell ref="A16:B16"/>
    <mergeCell ref="A6:G6"/>
    <mergeCell ref="A9:I9"/>
    <mergeCell ref="E10:F10"/>
    <mergeCell ref="H10:I10"/>
    <mergeCell ref="E11:F11"/>
    <mergeCell ref="H11:I11"/>
  </mergeCells>
  <pageMargins left="0.25" right="0.25" top="0.75" bottom="0.75" header="0.3" footer="0.3"/>
  <pageSetup scale="64" fitToHeight="2" orientation="portrait" horizontalDpi="4294967294" verticalDpi="4294967294" r:id="rId1"/>
  <ignoredErrors>
    <ignoredError sqref="I17 I20 I23 I28 I26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Group Box 1">
              <controlPr defaultSize="0" autoFill="0" autoPict="0">
                <anchor moveWithCells="1">
                  <from>
                    <xdr:col>7</xdr:col>
                    <xdr:colOff>0</xdr:colOff>
                    <xdr:row>16</xdr:row>
                    <xdr:rowOff>0</xdr:rowOff>
                  </from>
                  <to>
                    <xdr:col>9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Group Box 2">
              <controlPr defaultSize="0" autoFill="0" autoPict="0">
                <anchor moveWithCells="1">
                  <from>
                    <xdr:col>7</xdr:col>
                    <xdr:colOff>0</xdr:colOff>
                    <xdr:row>19</xdr:row>
                    <xdr:rowOff>0</xdr:rowOff>
                  </from>
                  <to>
                    <xdr:col>9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Group Box 3">
              <controlPr defaultSize="0" autoFill="0" autoPict="0">
                <anchor moveWithCells="1">
                  <from>
                    <xdr:col>7</xdr:col>
                    <xdr:colOff>0</xdr:colOff>
                    <xdr:row>22</xdr:row>
                    <xdr:rowOff>19050</xdr:rowOff>
                  </from>
                  <to>
                    <xdr:col>9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Group Box 4">
              <controlPr defaultSize="0" autoFill="0" autoPict="0">
                <anchor moveWithCells="1">
                  <from>
                    <xdr:col>7</xdr:col>
                    <xdr:colOff>0</xdr:colOff>
                    <xdr:row>25</xdr:row>
                    <xdr:rowOff>0</xdr:rowOff>
                  </from>
                  <to>
                    <xdr:col>9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Option Button 5">
              <controlPr defaultSize="0" autoFill="0" autoLine="0" autoPict="0">
                <anchor moveWithCells="1">
                  <from>
                    <xdr:col>7</xdr:col>
                    <xdr:colOff>323850</xdr:colOff>
                    <xdr:row>16</xdr:row>
                    <xdr:rowOff>142875</xdr:rowOff>
                  </from>
                  <to>
                    <xdr:col>7</xdr:col>
                    <xdr:colOff>628650</xdr:colOff>
                    <xdr:row>16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Option Button 6">
              <controlPr defaultSize="0" autoFill="0" autoLine="0" autoPict="0">
                <anchor moveWithCells="1">
                  <from>
                    <xdr:col>7</xdr:col>
                    <xdr:colOff>323850</xdr:colOff>
                    <xdr:row>17</xdr:row>
                    <xdr:rowOff>142875</xdr:rowOff>
                  </from>
                  <to>
                    <xdr:col>7</xdr:col>
                    <xdr:colOff>628650</xdr:colOff>
                    <xdr:row>17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Option Button 7">
              <controlPr defaultSize="0" autoFill="0" autoLine="0" autoPict="0">
                <anchor moveWithCells="1">
                  <from>
                    <xdr:col>7</xdr:col>
                    <xdr:colOff>323850</xdr:colOff>
                    <xdr:row>18</xdr:row>
                    <xdr:rowOff>142875</xdr:rowOff>
                  </from>
                  <to>
                    <xdr:col>7</xdr:col>
                    <xdr:colOff>628650</xdr:colOff>
                    <xdr:row>18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Option Button 8">
              <controlPr defaultSize="0" autoFill="0" autoLine="0" autoPict="0">
                <anchor moveWithCells="1">
                  <from>
                    <xdr:col>7</xdr:col>
                    <xdr:colOff>323850</xdr:colOff>
                    <xdr:row>19</xdr:row>
                    <xdr:rowOff>142875</xdr:rowOff>
                  </from>
                  <to>
                    <xdr:col>7</xdr:col>
                    <xdr:colOff>628650</xdr:colOff>
                    <xdr:row>19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Option Button 9">
              <controlPr defaultSize="0" autoFill="0" autoLine="0" autoPict="0">
                <anchor moveWithCells="1">
                  <from>
                    <xdr:col>7</xdr:col>
                    <xdr:colOff>323850</xdr:colOff>
                    <xdr:row>20</xdr:row>
                    <xdr:rowOff>142875</xdr:rowOff>
                  </from>
                  <to>
                    <xdr:col>7</xdr:col>
                    <xdr:colOff>628650</xdr:colOff>
                    <xdr:row>20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Option Button 10">
              <controlPr defaultSize="0" autoFill="0" autoLine="0" autoPict="0">
                <anchor moveWithCells="1">
                  <from>
                    <xdr:col>7</xdr:col>
                    <xdr:colOff>323850</xdr:colOff>
                    <xdr:row>21</xdr:row>
                    <xdr:rowOff>142875</xdr:rowOff>
                  </from>
                  <to>
                    <xdr:col>7</xdr:col>
                    <xdr:colOff>628650</xdr:colOff>
                    <xdr:row>21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Option Button 11">
              <controlPr defaultSize="0" autoFill="0" autoLine="0" autoPict="0">
                <anchor moveWithCells="1">
                  <from>
                    <xdr:col>7</xdr:col>
                    <xdr:colOff>323850</xdr:colOff>
                    <xdr:row>22</xdr:row>
                    <xdr:rowOff>142875</xdr:rowOff>
                  </from>
                  <to>
                    <xdr:col>7</xdr:col>
                    <xdr:colOff>628650</xdr:colOff>
                    <xdr:row>22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Option Button 12">
              <controlPr defaultSize="0" autoFill="0" autoLine="0" autoPict="0">
                <anchor moveWithCells="1">
                  <from>
                    <xdr:col>7</xdr:col>
                    <xdr:colOff>323850</xdr:colOff>
                    <xdr:row>23</xdr:row>
                    <xdr:rowOff>142875</xdr:rowOff>
                  </from>
                  <to>
                    <xdr:col>7</xdr:col>
                    <xdr:colOff>628650</xdr:colOff>
                    <xdr:row>23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Option Button 13">
              <controlPr defaultSize="0" autoFill="0" autoLine="0" autoPict="0">
                <anchor moveWithCells="1">
                  <from>
                    <xdr:col>7</xdr:col>
                    <xdr:colOff>323850</xdr:colOff>
                    <xdr:row>24</xdr:row>
                    <xdr:rowOff>142875</xdr:rowOff>
                  </from>
                  <to>
                    <xdr:col>7</xdr:col>
                    <xdr:colOff>628650</xdr:colOff>
                    <xdr:row>24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Option Button 14">
              <controlPr defaultSize="0" autoFill="0" autoLine="0" autoPict="0">
                <anchor moveWithCells="1">
                  <from>
                    <xdr:col>7</xdr:col>
                    <xdr:colOff>323850</xdr:colOff>
                    <xdr:row>25</xdr:row>
                    <xdr:rowOff>142875</xdr:rowOff>
                  </from>
                  <to>
                    <xdr:col>7</xdr:col>
                    <xdr:colOff>628650</xdr:colOff>
                    <xdr:row>25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Option Button 15">
              <controlPr defaultSize="0" autoFill="0" autoLine="0" autoPict="0">
                <anchor moveWithCells="1">
                  <from>
                    <xdr:col>7</xdr:col>
                    <xdr:colOff>323850</xdr:colOff>
                    <xdr:row>26</xdr:row>
                    <xdr:rowOff>142875</xdr:rowOff>
                  </from>
                  <to>
                    <xdr:col>7</xdr:col>
                    <xdr:colOff>628650</xdr:colOff>
                    <xdr:row>26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19" name="Check Box 20">
              <controlPr defaultSize="0" autoFill="0" autoLine="0" autoPict="0">
                <anchor moveWithCells="1">
                  <from>
                    <xdr:col>7</xdr:col>
                    <xdr:colOff>762000</xdr:colOff>
                    <xdr:row>30</xdr:row>
                    <xdr:rowOff>285750</xdr:rowOff>
                  </from>
                  <to>
                    <xdr:col>8</xdr:col>
                    <xdr:colOff>285750</xdr:colOff>
                    <xdr:row>30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0" name="Group Box 22">
              <controlPr defaultSize="0" autoFill="0" autoPict="0">
                <anchor moveWithCells="1">
                  <from>
                    <xdr:col>7</xdr:col>
                    <xdr:colOff>0</xdr:colOff>
                    <xdr:row>27</xdr:row>
                    <xdr:rowOff>0</xdr:rowOff>
                  </from>
                  <to>
                    <xdr:col>9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1" name="Option Button 26">
              <controlPr defaultSize="0" autoFill="0" autoLine="0" autoPict="0">
                <anchor moveWithCells="1">
                  <from>
                    <xdr:col>7</xdr:col>
                    <xdr:colOff>323850</xdr:colOff>
                    <xdr:row>27</xdr:row>
                    <xdr:rowOff>152400</xdr:rowOff>
                  </from>
                  <to>
                    <xdr:col>7</xdr:col>
                    <xdr:colOff>666750</xdr:colOff>
                    <xdr:row>27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22" name="Option Button 27">
              <controlPr defaultSize="0" autoFill="0" autoLine="0" autoPict="0">
                <anchor moveWithCells="1">
                  <from>
                    <xdr:col>7</xdr:col>
                    <xdr:colOff>323850</xdr:colOff>
                    <xdr:row>28</xdr:row>
                    <xdr:rowOff>152400</xdr:rowOff>
                  </from>
                  <to>
                    <xdr:col>7</xdr:col>
                    <xdr:colOff>666750</xdr:colOff>
                    <xdr:row>28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23" name="Option Button 28">
              <controlPr defaultSize="0" autoFill="0" autoLine="0" autoPict="0">
                <anchor moveWithCells="1">
                  <from>
                    <xdr:col>7</xdr:col>
                    <xdr:colOff>323850</xdr:colOff>
                    <xdr:row>29</xdr:row>
                    <xdr:rowOff>152400</xdr:rowOff>
                  </from>
                  <to>
                    <xdr:col>7</xdr:col>
                    <xdr:colOff>666750</xdr:colOff>
                    <xdr:row>29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fitToPage="1"/>
  </sheetPr>
  <dimension ref="A1:R61"/>
  <sheetViews>
    <sheetView showGridLines="0" topLeftCell="B1" zoomScale="85" zoomScaleNormal="85" workbookViewId="0">
      <selection activeCell="C20" sqref="C20:F20"/>
    </sheetView>
  </sheetViews>
  <sheetFormatPr defaultColWidth="11.25" defaultRowHeight="14.25" x14ac:dyDescent="0.2"/>
  <cols>
    <col min="1" max="1" width="23.5" style="109" customWidth="1"/>
    <col min="2" max="2" width="28" style="109" customWidth="1"/>
    <col min="3" max="3" width="15.625" style="109" customWidth="1"/>
    <col min="4" max="4" width="15.25" style="109" customWidth="1"/>
    <col min="5" max="5" width="12" style="109" customWidth="1"/>
    <col min="6" max="6" width="23.25" style="109" customWidth="1"/>
    <col min="7" max="7" width="13" style="109" customWidth="1"/>
    <col min="8" max="9" width="11.75" style="109" customWidth="1"/>
    <col min="10" max="10" width="11.25" style="109"/>
    <col min="11" max="11" width="11.25" style="4"/>
    <col min="12" max="12" width="16.5" style="4" hidden="1" customWidth="1"/>
    <col min="13" max="14" width="0" style="4" hidden="1" customWidth="1"/>
    <col min="15" max="15" width="15" style="4" hidden="1" customWidth="1"/>
    <col min="16" max="16384" width="11.25" style="4"/>
  </cols>
  <sheetData>
    <row r="1" spans="1:15" ht="63.75" customHeight="1" thickBot="1" x14ac:dyDescent="0.25">
      <c r="A1" s="146" t="s">
        <v>68</v>
      </c>
      <c r="B1" s="147"/>
      <c r="C1" s="147"/>
      <c r="D1" s="147"/>
      <c r="E1" s="147"/>
      <c r="F1" s="147"/>
      <c r="G1" s="147"/>
      <c r="H1" s="147"/>
      <c r="I1" s="148"/>
    </row>
    <row r="2" spans="1:15" ht="15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5" ht="25.15" customHeight="1" x14ac:dyDescent="0.2">
      <c r="A3" s="182" t="s">
        <v>1</v>
      </c>
      <c r="B3" s="183"/>
      <c r="C3" s="183"/>
      <c r="D3" s="185"/>
      <c r="E3" s="185"/>
      <c r="F3" s="185"/>
      <c r="G3" s="94" t="s">
        <v>2</v>
      </c>
      <c r="H3" s="186"/>
      <c r="I3" s="187"/>
      <c r="M3" s="5" t="s">
        <v>69</v>
      </c>
      <c r="N3" s="5" t="s">
        <v>58</v>
      </c>
      <c r="O3" s="5" t="s">
        <v>70</v>
      </c>
    </row>
    <row r="4" spans="1:15" ht="25.15" customHeight="1" thickBot="1" x14ac:dyDescent="0.25">
      <c r="A4" s="149" t="s">
        <v>3</v>
      </c>
      <c r="B4" s="150"/>
      <c r="C4" s="150"/>
      <c r="D4" s="151"/>
      <c r="E4" s="151"/>
      <c r="F4" s="151"/>
      <c r="G4" s="96" t="s">
        <v>4</v>
      </c>
      <c r="H4" s="152"/>
      <c r="I4" s="153"/>
      <c r="M4" s="5" t="s">
        <v>69</v>
      </c>
      <c r="N4" s="5" t="s">
        <v>58</v>
      </c>
      <c r="O4" s="5" t="s">
        <v>70</v>
      </c>
    </row>
    <row r="5" spans="1:15" ht="15" thickBot="1" x14ac:dyDescent="0.25">
      <c r="A5" s="107"/>
      <c r="B5" s="66"/>
      <c r="C5" s="66"/>
      <c r="D5" s="66"/>
      <c r="E5" s="66"/>
      <c r="F5" s="66"/>
      <c r="G5" s="66"/>
      <c r="H5" s="66"/>
      <c r="I5" s="31"/>
      <c r="J5" s="31"/>
      <c r="L5" s="6" t="s">
        <v>71</v>
      </c>
      <c r="M5" s="4">
        <v>15</v>
      </c>
      <c r="N5" s="4">
        <v>15</v>
      </c>
      <c r="O5" s="4">
        <v>20</v>
      </c>
    </row>
    <row r="6" spans="1:15" ht="25.5" x14ac:dyDescent="0.2">
      <c r="A6" s="165" t="s">
        <v>5</v>
      </c>
      <c r="B6" s="166"/>
      <c r="C6" s="166"/>
      <c r="D6" s="166"/>
      <c r="E6" s="166"/>
      <c r="F6" s="166"/>
      <c r="G6" s="167"/>
      <c r="H6" s="66"/>
      <c r="I6" s="24" t="s">
        <v>6</v>
      </c>
      <c r="L6" s="6" t="s">
        <v>72</v>
      </c>
      <c r="M6" s="4">
        <v>0</v>
      </c>
      <c r="N6" s="4">
        <v>0</v>
      </c>
      <c r="O6" s="4">
        <v>0</v>
      </c>
    </row>
    <row r="7" spans="1:15" ht="26.25" thickBot="1" x14ac:dyDescent="0.25">
      <c r="A7" s="95" t="s">
        <v>7</v>
      </c>
      <c r="B7" s="159"/>
      <c r="C7" s="160"/>
      <c r="D7" s="96" t="s">
        <v>8</v>
      </c>
      <c r="E7" s="28"/>
      <c r="F7" s="96" t="s">
        <v>9</v>
      </c>
      <c r="G7" s="57"/>
      <c r="H7" s="66"/>
      <c r="I7" s="67"/>
    </row>
    <row r="8" spans="1:15" x14ac:dyDescent="0.2">
      <c r="A8" s="107"/>
      <c r="B8" s="66"/>
      <c r="C8" s="66"/>
      <c r="D8" s="66"/>
      <c r="E8" s="66"/>
      <c r="F8" s="66"/>
      <c r="G8" s="66"/>
      <c r="H8" s="66"/>
      <c r="I8" s="31"/>
      <c r="J8" s="31"/>
      <c r="L8" s="6" t="s">
        <v>73</v>
      </c>
      <c r="M8" s="4">
        <v>25</v>
      </c>
      <c r="N8" s="4">
        <v>45</v>
      </c>
      <c r="O8" s="4">
        <v>30</v>
      </c>
    </row>
    <row r="9" spans="1:15" ht="15" thickBot="1" x14ac:dyDescent="0.25">
      <c r="A9" s="107"/>
      <c r="B9" s="66"/>
      <c r="C9" s="66"/>
      <c r="D9" s="66"/>
      <c r="E9" s="66"/>
      <c r="F9" s="66"/>
      <c r="G9" s="66"/>
      <c r="H9" s="66"/>
      <c r="I9" s="31"/>
      <c r="J9" s="31"/>
      <c r="L9" s="6" t="s">
        <v>71</v>
      </c>
      <c r="M9" s="4">
        <v>15</v>
      </c>
      <c r="N9" s="4">
        <v>15</v>
      </c>
      <c r="O9" s="4">
        <v>20</v>
      </c>
    </row>
    <row r="10" spans="1:15" ht="20.100000000000001" customHeight="1" x14ac:dyDescent="0.2">
      <c r="A10" s="168" t="s">
        <v>10</v>
      </c>
      <c r="B10" s="169"/>
      <c r="C10" s="169"/>
      <c r="D10" s="169"/>
      <c r="E10" s="169"/>
      <c r="F10" s="169"/>
      <c r="G10" s="169"/>
      <c r="H10" s="169"/>
      <c r="I10" s="170"/>
    </row>
    <row r="11" spans="1:15" ht="15" customHeight="1" x14ac:dyDescent="0.2">
      <c r="A11" s="17" t="s">
        <v>11</v>
      </c>
      <c r="B11" s="161"/>
      <c r="C11" s="162"/>
      <c r="D11" s="16" t="s">
        <v>12</v>
      </c>
      <c r="E11" s="171"/>
      <c r="F11" s="172"/>
      <c r="G11" s="16" t="s">
        <v>13</v>
      </c>
      <c r="H11" s="171"/>
      <c r="I11" s="173"/>
    </row>
    <row r="12" spans="1:15" ht="15" customHeight="1" x14ac:dyDescent="0.2">
      <c r="A12" s="17" t="s">
        <v>14</v>
      </c>
      <c r="B12" s="161"/>
      <c r="C12" s="162"/>
      <c r="D12" s="16" t="s">
        <v>15</v>
      </c>
      <c r="E12" s="171"/>
      <c r="F12" s="172"/>
      <c r="G12" s="16" t="s">
        <v>16</v>
      </c>
      <c r="H12" s="171"/>
      <c r="I12" s="173"/>
    </row>
    <row r="13" spans="1:15" x14ac:dyDescent="0.2">
      <c r="A13" s="22" t="s">
        <v>17</v>
      </c>
      <c r="B13" s="92"/>
      <c r="C13" s="261"/>
      <c r="D13" s="261"/>
      <c r="E13" s="261"/>
      <c r="F13" s="261"/>
      <c r="G13" s="261"/>
      <c r="H13" s="261"/>
      <c r="I13" s="262"/>
    </row>
    <row r="14" spans="1:15" ht="33.75" customHeight="1" thickBot="1" x14ac:dyDescent="0.25">
      <c r="A14" s="177"/>
      <c r="B14" s="178"/>
      <c r="C14" s="178"/>
      <c r="D14" s="178"/>
      <c r="E14" s="178"/>
      <c r="F14" s="178"/>
      <c r="G14" s="178"/>
      <c r="H14" s="178"/>
      <c r="I14" s="179"/>
    </row>
    <row r="15" spans="1:15" ht="12.75" customHeight="1" x14ac:dyDescent="0.2">
      <c r="A15" s="266" t="s">
        <v>74</v>
      </c>
      <c r="B15" s="267"/>
      <c r="C15" s="267"/>
      <c r="D15" s="267"/>
      <c r="E15" s="267"/>
      <c r="F15" s="267"/>
      <c r="G15" s="268"/>
      <c r="H15" s="263"/>
      <c r="I15" s="264"/>
      <c r="L15" s="6" t="s">
        <v>73</v>
      </c>
      <c r="M15" s="4">
        <v>25</v>
      </c>
      <c r="N15" s="4">
        <v>45</v>
      </c>
      <c r="O15" s="4">
        <v>30</v>
      </c>
    </row>
    <row r="16" spans="1:15" ht="15" thickBot="1" x14ac:dyDescent="0.25">
      <c r="A16" s="269"/>
      <c r="B16" s="270"/>
      <c r="C16" s="270"/>
      <c r="D16" s="270"/>
      <c r="E16" s="270"/>
      <c r="F16" s="270"/>
      <c r="G16" s="271"/>
      <c r="H16" s="265"/>
      <c r="I16" s="176"/>
      <c r="L16" s="6" t="s">
        <v>71</v>
      </c>
      <c r="M16" s="4">
        <v>15</v>
      </c>
      <c r="N16" s="4">
        <v>15</v>
      </c>
      <c r="O16" s="4">
        <v>20</v>
      </c>
    </row>
    <row r="17" spans="1:18" ht="20.100000000000001" customHeight="1" thickBot="1" x14ac:dyDescent="0.25">
      <c r="A17" s="272" t="s">
        <v>18</v>
      </c>
      <c r="B17" s="273"/>
      <c r="C17" s="273"/>
      <c r="D17" s="273"/>
      <c r="E17" s="273"/>
      <c r="F17" s="273"/>
      <c r="G17" s="273"/>
      <c r="H17" s="273"/>
      <c r="I17" s="274"/>
    </row>
    <row r="18" spans="1:18" ht="26.25" thickBot="1" x14ac:dyDescent="0.25">
      <c r="A18" s="275" t="s">
        <v>19</v>
      </c>
      <c r="B18" s="276"/>
      <c r="C18" s="278" t="s">
        <v>20</v>
      </c>
      <c r="D18" s="279"/>
      <c r="E18" s="279"/>
      <c r="F18" s="279"/>
      <c r="G18" s="27" t="s">
        <v>21</v>
      </c>
      <c r="H18" s="99" t="s">
        <v>22</v>
      </c>
      <c r="I18" s="26" t="s">
        <v>23</v>
      </c>
    </row>
    <row r="19" spans="1:18" ht="39.75" customHeight="1" x14ac:dyDescent="0.2">
      <c r="A19" s="257" t="s">
        <v>24</v>
      </c>
      <c r="B19" s="254" t="s">
        <v>75</v>
      </c>
      <c r="C19" s="280" t="s">
        <v>76</v>
      </c>
      <c r="D19" s="280"/>
      <c r="E19" s="280"/>
      <c r="F19" s="280"/>
      <c r="G19" s="204" t="s">
        <v>27</v>
      </c>
      <c r="H19" s="59"/>
      <c r="I19" s="189">
        <f>+Datos!G27</f>
        <v>10</v>
      </c>
    </row>
    <row r="20" spans="1:18" ht="40.5" customHeight="1" x14ac:dyDescent="0.2">
      <c r="A20" s="258"/>
      <c r="B20" s="254"/>
      <c r="C20" s="191" t="s">
        <v>77</v>
      </c>
      <c r="D20" s="191"/>
      <c r="E20" s="191"/>
      <c r="F20" s="191"/>
      <c r="G20" s="204"/>
      <c r="H20" s="60"/>
      <c r="I20" s="189"/>
    </row>
    <row r="21" spans="1:18" ht="37.5" customHeight="1" thickBot="1" x14ac:dyDescent="0.25">
      <c r="A21" s="258"/>
      <c r="B21" s="254"/>
      <c r="C21" s="191" t="s">
        <v>78</v>
      </c>
      <c r="D21" s="191"/>
      <c r="E21" s="191"/>
      <c r="F21" s="191"/>
      <c r="G21" s="204"/>
      <c r="H21" s="60"/>
      <c r="I21" s="190"/>
    </row>
    <row r="22" spans="1:18" ht="41.25" customHeight="1" x14ac:dyDescent="0.2">
      <c r="A22" s="258"/>
      <c r="B22" s="255" t="s">
        <v>79</v>
      </c>
      <c r="C22" s="197" t="s">
        <v>80</v>
      </c>
      <c r="D22" s="197"/>
      <c r="E22" s="197"/>
      <c r="F22" s="197"/>
      <c r="G22" s="203" t="s">
        <v>27</v>
      </c>
      <c r="H22" s="62"/>
      <c r="I22" s="188">
        <f>+Datos!G28</f>
        <v>10</v>
      </c>
    </row>
    <row r="23" spans="1:18" ht="41.25" customHeight="1" x14ac:dyDescent="0.2">
      <c r="A23" s="258"/>
      <c r="B23" s="254"/>
      <c r="C23" s="191" t="s">
        <v>81</v>
      </c>
      <c r="D23" s="191"/>
      <c r="E23" s="191"/>
      <c r="F23" s="191"/>
      <c r="G23" s="204"/>
      <c r="H23" s="60"/>
      <c r="I23" s="189"/>
    </row>
    <row r="24" spans="1:18" ht="41.25" customHeight="1" thickBot="1" x14ac:dyDescent="0.25">
      <c r="A24" s="258"/>
      <c r="B24" s="256"/>
      <c r="C24" s="202" t="s">
        <v>82</v>
      </c>
      <c r="D24" s="202"/>
      <c r="E24" s="202"/>
      <c r="F24" s="202"/>
      <c r="G24" s="243"/>
      <c r="H24" s="61"/>
      <c r="I24" s="201"/>
    </row>
    <row r="25" spans="1:18" ht="37.5" customHeight="1" x14ac:dyDescent="0.2">
      <c r="A25" s="258"/>
      <c r="B25" s="277" t="s">
        <v>83</v>
      </c>
      <c r="C25" s="197" t="s">
        <v>84</v>
      </c>
      <c r="D25" s="197"/>
      <c r="E25" s="197"/>
      <c r="F25" s="197"/>
      <c r="G25" s="203" t="s">
        <v>27</v>
      </c>
      <c r="H25" s="62"/>
      <c r="I25" s="188">
        <f>+Datos!G29</f>
        <v>10</v>
      </c>
    </row>
    <row r="26" spans="1:18" ht="37.5" customHeight="1" x14ac:dyDescent="0.2">
      <c r="A26" s="258"/>
      <c r="B26" s="162"/>
      <c r="C26" s="191" t="s">
        <v>85</v>
      </c>
      <c r="D26" s="191"/>
      <c r="E26" s="191"/>
      <c r="F26" s="191"/>
      <c r="G26" s="204"/>
      <c r="H26" s="60"/>
      <c r="I26" s="189"/>
    </row>
    <row r="27" spans="1:18" ht="37.5" customHeight="1" thickBot="1" x14ac:dyDescent="0.25">
      <c r="A27" s="258"/>
      <c r="B27" s="160"/>
      <c r="C27" s="202" t="s">
        <v>86</v>
      </c>
      <c r="D27" s="202"/>
      <c r="E27" s="202"/>
      <c r="F27" s="202"/>
      <c r="G27" s="243"/>
      <c r="H27" s="61"/>
      <c r="I27" s="201"/>
    </row>
    <row r="28" spans="1:18" ht="36" customHeight="1" x14ac:dyDescent="0.2">
      <c r="A28" s="257" t="s">
        <v>34</v>
      </c>
      <c r="B28" s="255" t="s">
        <v>87</v>
      </c>
      <c r="C28" s="197" t="s">
        <v>88</v>
      </c>
      <c r="D28" s="197"/>
      <c r="E28" s="197"/>
      <c r="F28" s="197"/>
      <c r="G28" s="203" t="s">
        <v>27</v>
      </c>
      <c r="H28" s="62"/>
      <c r="I28" s="188">
        <f>+Datos!G30</f>
        <v>30</v>
      </c>
    </row>
    <row r="29" spans="1:18" ht="36" customHeight="1" x14ac:dyDescent="0.2">
      <c r="A29" s="258"/>
      <c r="B29" s="254"/>
      <c r="C29" s="191" t="s">
        <v>89</v>
      </c>
      <c r="D29" s="191"/>
      <c r="E29" s="191"/>
      <c r="F29" s="191"/>
      <c r="G29" s="204"/>
      <c r="H29" s="60"/>
      <c r="I29" s="189"/>
    </row>
    <row r="30" spans="1:18" ht="36" customHeight="1" thickBot="1" x14ac:dyDescent="0.25">
      <c r="A30" s="258"/>
      <c r="B30" s="254"/>
      <c r="C30" s="191" t="s">
        <v>90</v>
      </c>
      <c r="D30" s="191"/>
      <c r="E30" s="191"/>
      <c r="F30" s="191"/>
      <c r="G30" s="204"/>
      <c r="H30" s="61"/>
      <c r="I30" s="201"/>
    </row>
    <row r="31" spans="1:18" ht="56.25" customHeight="1" x14ac:dyDescent="0.2">
      <c r="A31" s="157" t="s">
        <v>91</v>
      </c>
      <c r="B31" s="259" t="s">
        <v>92</v>
      </c>
      <c r="C31" s="315" t="s">
        <v>93</v>
      </c>
      <c r="D31" s="316"/>
      <c r="E31" s="316"/>
      <c r="F31" s="317"/>
      <c r="G31" s="204" t="s">
        <v>27</v>
      </c>
      <c r="H31" s="59"/>
      <c r="I31" s="189">
        <f>+Datos!G31</f>
        <v>10</v>
      </c>
      <c r="K31" s="7"/>
      <c r="L31" s="7"/>
      <c r="M31" s="7"/>
      <c r="N31" s="7"/>
      <c r="O31" s="7"/>
      <c r="P31" s="7"/>
      <c r="Q31" s="7"/>
      <c r="R31" s="7"/>
    </row>
    <row r="32" spans="1:18" ht="56.25" customHeight="1" x14ac:dyDescent="0.2">
      <c r="A32" s="157"/>
      <c r="B32" s="259"/>
      <c r="C32" s="292" t="s">
        <v>94</v>
      </c>
      <c r="D32" s="293"/>
      <c r="E32" s="293"/>
      <c r="F32" s="294"/>
      <c r="G32" s="204"/>
      <c r="H32" s="60"/>
      <c r="I32" s="189"/>
      <c r="K32" s="7"/>
      <c r="L32" s="7"/>
      <c r="M32" s="7"/>
      <c r="N32" s="7"/>
      <c r="O32" s="7"/>
      <c r="P32" s="7"/>
      <c r="Q32" s="7"/>
      <c r="R32" s="7"/>
    </row>
    <row r="33" spans="1:18" ht="69.75" customHeight="1" thickBot="1" x14ac:dyDescent="0.25">
      <c r="A33" s="157"/>
      <c r="B33" s="259"/>
      <c r="C33" s="286" t="s">
        <v>95</v>
      </c>
      <c r="D33" s="287"/>
      <c r="E33" s="287"/>
      <c r="F33" s="288"/>
      <c r="G33" s="243"/>
      <c r="H33" s="61"/>
      <c r="I33" s="201"/>
      <c r="K33" s="7"/>
      <c r="L33" s="7"/>
      <c r="M33" s="7"/>
      <c r="N33" s="7"/>
      <c r="O33" s="7"/>
      <c r="P33" s="7"/>
      <c r="Q33" s="7"/>
      <c r="R33" s="7"/>
    </row>
    <row r="34" spans="1:18" ht="55.5" customHeight="1" x14ac:dyDescent="0.2">
      <c r="A34" s="258"/>
      <c r="B34" s="260" t="s">
        <v>96</v>
      </c>
      <c r="C34" s="289" t="s">
        <v>97</v>
      </c>
      <c r="D34" s="290"/>
      <c r="E34" s="290"/>
      <c r="F34" s="291"/>
      <c r="G34" s="203" t="s">
        <v>27</v>
      </c>
      <c r="H34" s="62"/>
      <c r="I34" s="188">
        <f>+Datos!G32</f>
        <v>10</v>
      </c>
      <c r="K34" s="7"/>
      <c r="L34" s="7"/>
      <c r="M34" s="7"/>
      <c r="N34" s="7"/>
      <c r="O34" s="7"/>
      <c r="P34" s="7"/>
      <c r="Q34" s="7"/>
      <c r="R34" s="7"/>
    </row>
    <row r="35" spans="1:18" ht="55.5" customHeight="1" x14ac:dyDescent="0.2">
      <c r="A35" s="258"/>
      <c r="B35" s="162"/>
      <c r="C35" s="292" t="s">
        <v>98</v>
      </c>
      <c r="D35" s="293"/>
      <c r="E35" s="293"/>
      <c r="F35" s="294"/>
      <c r="G35" s="204"/>
      <c r="H35" s="60"/>
      <c r="I35" s="189"/>
      <c r="K35" s="7"/>
      <c r="L35" s="7"/>
      <c r="M35" s="7"/>
      <c r="N35" s="7"/>
      <c r="O35" s="7"/>
      <c r="P35" s="7"/>
      <c r="Q35" s="7"/>
      <c r="R35" s="7"/>
    </row>
    <row r="36" spans="1:18" ht="67.5" customHeight="1" thickBot="1" x14ac:dyDescent="0.25">
      <c r="A36" s="258"/>
      <c r="B36" s="248"/>
      <c r="C36" s="295" t="s">
        <v>99</v>
      </c>
      <c r="D36" s="296"/>
      <c r="E36" s="296"/>
      <c r="F36" s="297"/>
      <c r="G36" s="204"/>
      <c r="H36" s="63"/>
      <c r="I36" s="189"/>
      <c r="K36" s="8"/>
      <c r="L36" s="8"/>
      <c r="M36" s="8"/>
      <c r="N36" s="8"/>
      <c r="O36" s="8"/>
      <c r="P36" s="8"/>
      <c r="Q36" s="8"/>
      <c r="R36" s="8"/>
    </row>
    <row r="37" spans="1:18" ht="27" customHeight="1" x14ac:dyDescent="0.2">
      <c r="A37" s="257" t="s">
        <v>39</v>
      </c>
      <c r="B37" s="277" t="s">
        <v>40</v>
      </c>
      <c r="C37" s="197" t="s">
        <v>41</v>
      </c>
      <c r="D37" s="197"/>
      <c r="E37" s="197"/>
      <c r="F37" s="197"/>
      <c r="G37" s="284" t="s">
        <v>42</v>
      </c>
      <c r="H37" s="62"/>
      <c r="I37" s="188">
        <f>+Datos!G33</f>
        <v>10</v>
      </c>
    </row>
    <row r="38" spans="1:18" ht="27" customHeight="1" thickBot="1" x14ac:dyDescent="0.25">
      <c r="A38" s="258"/>
      <c r="B38" s="160"/>
      <c r="C38" s="202" t="s">
        <v>43</v>
      </c>
      <c r="D38" s="202"/>
      <c r="E38" s="202"/>
      <c r="F38" s="202"/>
      <c r="G38" s="285"/>
      <c r="H38" s="61"/>
      <c r="I38" s="201"/>
    </row>
    <row r="39" spans="1:18" ht="64.5" customHeight="1" x14ac:dyDescent="0.2">
      <c r="A39" s="258"/>
      <c r="B39" s="277" t="s">
        <v>44</v>
      </c>
      <c r="C39" s="197" t="s">
        <v>45</v>
      </c>
      <c r="D39" s="197"/>
      <c r="E39" s="197"/>
      <c r="F39" s="197"/>
      <c r="G39" s="205" t="s">
        <v>46</v>
      </c>
      <c r="H39" s="62"/>
      <c r="I39" s="188">
        <f>+Datos!G34</f>
        <v>10</v>
      </c>
    </row>
    <row r="40" spans="1:18" ht="64.5" customHeight="1" x14ac:dyDescent="0.2">
      <c r="A40" s="258"/>
      <c r="B40" s="162"/>
      <c r="C40" s="191" t="s">
        <v>47</v>
      </c>
      <c r="D40" s="191"/>
      <c r="E40" s="191"/>
      <c r="F40" s="191"/>
      <c r="G40" s="206"/>
      <c r="H40" s="60"/>
      <c r="I40" s="189"/>
    </row>
    <row r="41" spans="1:18" ht="64.5" customHeight="1" thickBot="1" x14ac:dyDescent="0.25">
      <c r="A41" s="283"/>
      <c r="B41" s="160"/>
      <c r="C41" s="202" t="s">
        <v>48</v>
      </c>
      <c r="D41" s="202"/>
      <c r="E41" s="202"/>
      <c r="F41" s="202"/>
      <c r="G41" s="207"/>
      <c r="H41" s="61"/>
      <c r="I41" s="201"/>
    </row>
    <row r="42" spans="1:18" customFormat="1" ht="50.25" thickBot="1" x14ac:dyDescent="0.25">
      <c r="A42" s="42" t="s">
        <v>49</v>
      </c>
      <c r="B42" s="43" t="s">
        <v>100</v>
      </c>
      <c r="C42" s="250" t="s">
        <v>50</v>
      </c>
      <c r="D42" s="250"/>
      <c r="E42" s="250"/>
      <c r="F42" s="250"/>
      <c r="G42" s="58" t="s">
        <v>51</v>
      </c>
      <c r="H42" s="300"/>
      <c r="I42" s="301"/>
      <c r="J42" s="31"/>
    </row>
    <row r="43" spans="1:18" ht="15" thickBot="1" x14ac:dyDescent="0.25">
      <c r="A43" s="107"/>
      <c r="B43" s="66"/>
      <c r="C43" s="66"/>
      <c r="D43" s="66"/>
      <c r="E43" s="66"/>
      <c r="F43" s="66"/>
      <c r="G43" s="66"/>
      <c r="H43" s="66"/>
      <c r="I43" s="31"/>
      <c r="J43" s="31"/>
    </row>
    <row r="44" spans="1:18" ht="25.5" customHeight="1" x14ac:dyDescent="0.2">
      <c r="A44" s="165" t="s">
        <v>52</v>
      </c>
      <c r="B44" s="166"/>
      <c r="C44" s="166"/>
      <c r="D44" s="167"/>
      <c r="E44" s="66"/>
      <c r="F44" s="165" t="s">
        <v>53</v>
      </c>
      <c r="G44" s="166"/>
      <c r="H44" s="166"/>
      <c r="I44" s="167"/>
    </row>
    <row r="45" spans="1:18" ht="25.5" x14ac:dyDescent="0.2">
      <c r="A45" s="281" t="s">
        <v>54</v>
      </c>
      <c r="B45" s="282"/>
      <c r="C45" s="98" t="s">
        <v>55</v>
      </c>
      <c r="D45" s="20" t="s">
        <v>56</v>
      </c>
      <c r="E45" s="66"/>
      <c r="F45" s="303"/>
      <c r="G45" s="304"/>
      <c r="H45" s="304"/>
      <c r="I45" s="305"/>
    </row>
    <row r="46" spans="1:18" ht="21" customHeight="1" x14ac:dyDescent="0.2">
      <c r="A46" s="309" t="s">
        <v>57</v>
      </c>
      <c r="B46" s="310"/>
      <c r="C46" s="3">
        <f>IF(Datos!$B$38,Datos!C41,Datos!D41)</f>
        <v>20</v>
      </c>
      <c r="D46" s="56">
        <f>+Datos!E41</f>
        <v>20</v>
      </c>
      <c r="E46" s="66"/>
      <c r="F46" s="303"/>
      <c r="G46" s="304"/>
      <c r="H46" s="304"/>
      <c r="I46" s="305"/>
    </row>
    <row r="47" spans="1:18" ht="21" customHeight="1" x14ac:dyDescent="0.2">
      <c r="A47" s="309" t="s">
        <v>58</v>
      </c>
      <c r="B47" s="310"/>
      <c r="C47" s="3">
        <f>IF(Datos!$B$38,Datos!C42,Datos!D42)</f>
        <v>30</v>
      </c>
      <c r="D47" s="56">
        <f>+Datos!E42</f>
        <v>30</v>
      </c>
      <c r="E47" s="66"/>
      <c r="F47" s="303"/>
      <c r="G47" s="304"/>
      <c r="H47" s="304"/>
      <c r="I47" s="305"/>
    </row>
    <row r="48" spans="1:18" ht="21" customHeight="1" x14ac:dyDescent="0.2">
      <c r="A48" s="309" t="s">
        <v>59</v>
      </c>
      <c r="B48" s="310"/>
      <c r="C48" s="3">
        <f>IF(Datos!$B$38,Datos!C43,Datos!D43)</f>
        <v>30</v>
      </c>
      <c r="D48" s="56">
        <f>+Datos!E43</f>
        <v>30</v>
      </c>
      <c r="E48" s="66"/>
      <c r="F48" s="303"/>
      <c r="G48" s="304"/>
      <c r="H48" s="304"/>
      <c r="I48" s="305"/>
    </row>
    <row r="49" spans="1:10" ht="21" customHeight="1" x14ac:dyDescent="0.2">
      <c r="A49" s="309" t="s">
        <v>91</v>
      </c>
      <c r="B49" s="310"/>
      <c r="C49" s="3">
        <f>IF(Datos!$B$38,Datos!C44,Datos!D44)</f>
        <v>20</v>
      </c>
      <c r="D49" s="56">
        <f>+Datos!E44</f>
        <v>20</v>
      </c>
      <c r="E49" s="66"/>
      <c r="F49" s="303"/>
      <c r="G49" s="304"/>
      <c r="H49" s="304"/>
      <c r="I49" s="305"/>
    </row>
    <row r="50" spans="1:10" ht="21" customHeight="1" thickBot="1" x14ac:dyDescent="0.25">
      <c r="A50" s="313" t="s">
        <v>60</v>
      </c>
      <c r="B50" s="314"/>
      <c r="C50" s="85">
        <v>100</v>
      </c>
      <c r="D50" s="86">
        <f>SUM(D46:D49)</f>
        <v>100</v>
      </c>
      <c r="E50" s="66"/>
      <c r="F50" s="303"/>
      <c r="G50" s="304"/>
      <c r="H50" s="304"/>
      <c r="I50" s="305"/>
    </row>
    <row r="51" spans="1:10" ht="6.75" customHeight="1" thickBot="1" x14ac:dyDescent="0.25">
      <c r="A51" s="31"/>
      <c r="B51" s="31"/>
      <c r="C51" s="31"/>
      <c r="D51" s="31"/>
      <c r="E51" s="66"/>
      <c r="F51" s="303"/>
      <c r="G51" s="304"/>
      <c r="H51" s="304"/>
      <c r="I51" s="305"/>
    </row>
    <row r="52" spans="1:10" ht="21" customHeight="1" x14ac:dyDescent="0.2">
      <c r="A52" s="311" t="s">
        <v>101</v>
      </c>
      <c r="B52" s="312"/>
      <c r="C52" s="298" t="b">
        <f>+Datos!C35</f>
        <v>0</v>
      </c>
      <c r="D52" s="299"/>
      <c r="E52" s="31"/>
      <c r="F52" s="303"/>
      <c r="G52" s="304"/>
      <c r="H52" s="304"/>
      <c r="I52" s="305"/>
    </row>
    <row r="53" spans="1:10" ht="21" customHeight="1" thickBot="1" x14ac:dyDescent="0.25">
      <c r="A53" s="302" t="s">
        <v>102</v>
      </c>
      <c r="B53" s="151"/>
      <c r="C53" s="97">
        <v>100</v>
      </c>
      <c r="D53" s="108">
        <f>IF(C52,0,D50)</f>
        <v>100</v>
      </c>
      <c r="E53" s="31"/>
      <c r="F53" s="306"/>
      <c r="G53" s="307"/>
      <c r="H53" s="307"/>
      <c r="I53" s="308"/>
      <c r="J53" s="31"/>
    </row>
    <row r="54" spans="1:10" ht="15" thickBot="1" x14ac:dyDescent="0.25">
      <c r="A54" s="107"/>
      <c r="B54" s="66"/>
      <c r="C54" s="66"/>
      <c r="D54" s="66"/>
      <c r="E54" s="31"/>
      <c r="F54" s="66"/>
      <c r="G54" s="66"/>
      <c r="H54" s="66"/>
      <c r="I54" s="31"/>
      <c r="J54" s="31"/>
    </row>
    <row r="55" spans="1:10" s="6" customFormat="1" ht="25.5" customHeight="1" x14ac:dyDescent="0.2">
      <c r="A55" s="168" t="s">
        <v>63</v>
      </c>
      <c r="B55" s="169"/>
      <c r="C55" s="169"/>
      <c r="D55" s="169"/>
      <c r="E55" s="253"/>
      <c r="F55" s="166" t="s">
        <v>64</v>
      </c>
      <c r="G55" s="166"/>
      <c r="H55" s="166"/>
      <c r="I55" s="167"/>
      <c r="J55" s="115"/>
    </row>
    <row r="56" spans="1:10" ht="15" customHeight="1" x14ac:dyDescent="0.2">
      <c r="A56" s="17" t="s">
        <v>65</v>
      </c>
      <c r="B56" s="161"/>
      <c r="C56" s="242"/>
      <c r="D56" s="242"/>
      <c r="E56" s="162"/>
      <c r="F56" s="16" t="s">
        <v>65</v>
      </c>
      <c r="G56" s="171"/>
      <c r="H56" s="244"/>
      <c r="I56" s="173"/>
    </row>
    <row r="57" spans="1:10" ht="15" customHeight="1" x14ac:dyDescent="0.2">
      <c r="A57" s="17" t="s">
        <v>66</v>
      </c>
      <c r="B57" s="161"/>
      <c r="C57" s="242"/>
      <c r="D57" s="242"/>
      <c r="E57" s="162"/>
      <c r="F57" s="16" t="s">
        <v>66</v>
      </c>
      <c r="G57" s="171"/>
      <c r="H57" s="244"/>
      <c r="I57" s="173"/>
    </row>
    <row r="58" spans="1:10" x14ac:dyDescent="0.2">
      <c r="A58" s="22" t="s">
        <v>67</v>
      </c>
      <c r="B58" s="92"/>
      <c r="C58" s="247"/>
      <c r="D58" s="247"/>
      <c r="E58" s="248"/>
      <c r="F58" s="2" t="s">
        <v>67</v>
      </c>
      <c r="G58" s="247"/>
      <c r="H58" s="247"/>
      <c r="I58" s="249"/>
    </row>
    <row r="59" spans="1:10" ht="33.75" customHeight="1" thickBot="1" x14ac:dyDescent="0.25">
      <c r="A59" s="177"/>
      <c r="B59" s="178"/>
      <c r="C59" s="178"/>
      <c r="D59" s="178"/>
      <c r="E59" s="239"/>
      <c r="F59" s="240"/>
      <c r="G59" s="240"/>
      <c r="H59" s="240"/>
      <c r="I59" s="241"/>
    </row>
    <row r="60" spans="1:10" x14ac:dyDescent="0.2">
      <c r="A60" s="107"/>
      <c r="B60" s="66"/>
      <c r="C60" s="66"/>
      <c r="D60" s="66"/>
      <c r="E60" s="66"/>
      <c r="F60" s="66"/>
      <c r="G60" s="66"/>
      <c r="H60" s="66"/>
      <c r="I60" s="31"/>
      <c r="J60" s="31"/>
    </row>
    <row r="61" spans="1:10" x14ac:dyDescent="0.2">
      <c r="A61" s="107"/>
      <c r="B61" s="66"/>
      <c r="C61" s="66"/>
      <c r="D61" s="66"/>
      <c r="E61" s="66"/>
      <c r="F61" s="66"/>
      <c r="G61" s="66"/>
      <c r="H61" s="66"/>
      <c r="I61" s="31"/>
      <c r="J61" s="31"/>
    </row>
  </sheetData>
  <mergeCells count="98">
    <mergeCell ref="A53:B53"/>
    <mergeCell ref="F45:I53"/>
    <mergeCell ref="I25:I27"/>
    <mergeCell ref="A55:E55"/>
    <mergeCell ref="F55:I55"/>
    <mergeCell ref="B39:B41"/>
    <mergeCell ref="A46:B46"/>
    <mergeCell ref="A47:B47"/>
    <mergeCell ref="A48:B48"/>
    <mergeCell ref="A49:B49"/>
    <mergeCell ref="A52:B52"/>
    <mergeCell ref="A50:B50"/>
    <mergeCell ref="C31:F31"/>
    <mergeCell ref="G31:G33"/>
    <mergeCell ref="I31:I33"/>
    <mergeCell ref="C32:F32"/>
    <mergeCell ref="G56:I56"/>
    <mergeCell ref="C39:F39"/>
    <mergeCell ref="G39:G41"/>
    <mergeCell ref="I39:I41"/>
    <mergeCell ref="C40:F40"/>
    <mergeCell ref="C41:F41"/>
    <mergeCell ref="C52:D52"/>
    <mergeCell ref="H42:I42"/>
    <mergeCell ref="G57:I57"/>
    <mergeCell ref="C58:E58"/>
    <mergeCell ref="G58:I58"/>
    <mergeCell ref="A59:E59"/>
    <mergeCell ref="F59:I59"/>
    <mergeCell ref="A45:B45"/>
    <mergeCell ref="A44:D44"/>
    <mergeCell ref="F44:I44"/>
    <mergeCell ref="A37:A41"/>
    <mergeCell ref="A31:A36"/>
    <mergeCell ref="C37:F37"/>
    <mergeCell ref="G37:G38"/>
    <mergeCell ref="I37:I38"/>
    <mergeCell ref="C38:F38"/>
    <mergeCell ref="C33:F33"/>
    <mergeCell ref="C34:F34"/>
    <mergeCell ref="G34:G36"/>
    <mergeCell ref="I34:I36"/>
    <mergeCell ref="C35:F35"/>
    <mergeCell ref="C36:F36"/>
    <mergeCell ref="B37:B38"/>
    <mergeCell ref="I28:I30"/>
    <mergeCell ref="C29:F29"/>
    <mergeCell ref="C30:F30"/>
    <mergeCell ref="G28:G30"/>
    <mergeCell ref="I19:I21"/>
    <mergeCell ref="C20:F20"/>
    <mergeCell ref="C21:F21"/>
    <mergeCell ref="C22:F22"/>
    <mergeCell ref="G22:G24"/>
    <mergeCell ref="I22:I24"/>
    <mergeCell ref="C23:F23"/>
    <mergeCell ref="C24:F24"/>
    <mergeCell ref="C25:F25"/>
    <mergeCell ref="C26:F26"/>
    <mergeCell ref="C27:F27"/>
    <mergeCell ref="C28:F28"/>
    <mergeCell ref="A18:B18"/>
    <mergeCell ref="B25:B27"/>
    <mergeCell ref="B28:B30"/>
    <mergeCell ref="C18:F18"/>
    <mergeCell ref="C19:F19"/>
    <mergeCell ref="B31:B33"/>
    <mergeCell ref="B34:B36"/>
    <mergeCell ref="D3:F3"/>
    <mergeCell ref="H3:I3"/>
    <mergeCell ref="A6:G6"/>
    <mergeCell ref="A10:I10"/>
    <mergeCell ref="A28:A30"/>
    <mergeCell ref="E11:F11"/>
    <mergeCell ref="H11:I11"/>
    <mergeCell ref="E12:F12"/>
    <mergeCell ref="H12:I12"/>
    <mergeCell ref="C13:I13"/>
    <mergeCell ref="A14:I14"/>
    <mergeCell ref="H15:I16"/>
    <mergeCell ref="A15:G16"/>
    <mergeCell ref="A17:I17"/>
    <mergeCell ref="A1:I1"/>
    <mergeCell ref="B56:E56"/>
    <mergeCell ref="B57:E57"/>
    <mergeCell ref="B11:C11"/>
    <mergeCell ref="B12:C12"/>
    <mergeCell ref="C42:F42"/>
    <mergeCell ref="A4:C4"/>
    <mergeCell ref="D4:F4"/>
    <mergeCell ref="H4:I4"/>
    <mergeCell ref="B19:B21"/>
    <mergeCell ref="B22:B24"/>
    <mergeCell ref="A19:A27"/>
    <mergeCell ref="G25:G27"/>
    <mergeCell ref="G19:G21"/>
    <mergeCell ref="B7:C7"/>
    <mergeCell ref="A3:C3"/>
  </mergeCells>
  <pageMargins left="0.23622047244094491" right="0.23622047244094491" top="0.74803149606299213" bottom="0.74803149606299213" header="0.31496062992125984" footer="0.31496062992125984"/>
  <pageSetup scale="64" fitToHeight="2" orientation="portrait" horizontalDpi="4294967294" verticalDpi="4294967294" r:id="rId1"/>
  <ignoredErrors>
    <ignoredError sqref="I22 I19 I25 I28 I31 I34 I37 I3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Group Box 1">
              <controlPr defaultSize="0" autoFill="0" autoPict="0">
                <anchor moveWithCells="1">
                  <from>
                    <xdr:col>7</xdr:col>
                    <xdr:colOff>0</xdr:colOff>
                    <xdr:row>18</xdr:row>
                    <xdr:rowOff>19050</xdr:rowOff>
                  </from>
                  <to>
                    <xdr:col>9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Group Box 2">
              <controlPr defaultSize="0" autoFill="0" autoPict="0">
                <anchor moveWithCells="1">
                  <from>
                    <xdr:col>7</xdr:col>
                    <xdr:colOff>0</xdr:colOff>
                    <xdr:row>21</xdr:row>
                    <xdr:rowOff>19050</xdr:rowOff>
                  </from>
                  <to>
                    <xdr:col>9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Group Box 3">
              <controlPr defaultSize="0" autoFill="0" autoPict="0">
                <anchor moveWithCells="1">
                  <from>
                    <xdr:col>7</xdr:col>
                    <xdr:colOff>0</xdr:colOff>
                    <xdr:row>24</xdr:row>
                    <xdr:rowOff>0</xdr:rowOff>
                  </from>
                  <to>
                    <xdr:col>9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Group Box 4">
              <controlPr defaultSize="0" autoFill="0" autoPict="0">
                <anchor moveWithCells="1">
                  <from>
                    <xdr:col>7</xdr:col>
                    <xdr:colOff>0</xdr:colOff>
                    <xdr:row>27</xdr:row>
                    <xdr:rowOff>0</xdr:rowOff>
                  </from>
                  <to>
                    <xdr:col>9</xdr:col>
                    <xdr:colOff>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Group Box 5">
              <controlPr defaultSize="0" autoFill="0" autoPict="0">
                <anchor moveWithCells="1">
                  <from>
                    <xdr:col>7</xdr:col>
                    <xdr:colOff>0</xdr:colOff>
                    <xdr:row>30</xdr:row>
                    <xdr:rowOff>0</xdr:rowOff>
                  </from>
                  <to>
                    <xdr:col>9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Group Box 6">
              <controlPr defaultSize="0" autoFill="0" autoPict="0">
                <anchor moveWithCells="1">
                  <from>
                    <xdr:col>7</xdr:col>
                    <xdr:colOff>0</xdr:colOff>
                    <xdr:row>36</xdr:row>
                    <xdr:rowOff>19050</xdr:rowOff>
                  </from>
                  <to>
                    <xdr:col>9</xdr:col>
                    <xdr:colOff>0</xdr:colOff>
                    <xdr:row>37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Group Box 7">
              <controlPr defaultSize="0" autoFill="0" autoPict="0">
                <anchor moveWithCells="1">
                  <from>
                    <xdr:col>7</xdr:col>
                    <xdr:colOff>0</xdr:colOff>
                    <xdr:row>37</xdr:row>
                    <xdr:rowOff>342900</xdr:rowOff>
                  </from>
                  <to>
                    <xdr:col>9</xdr:col>
                    <xdr:colOff>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Group Box 8">
              <controlPr defaultSize="0" autoFill="0" autoPict="0">
                <anchor moveWithCells="1">
                  <from>
                    <xdr:col>7</xdr:col>
                    <xdr:colOff>0</xdr:colOff>
                    <xdr:row>33</xdr:row>
                    <xdr:rowOff>0</xdr:rowOff>
                  </from>
                  <to>
                    <xdr:col>9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Option Button 9">
              <controlPr defaultSize="0" autoFill="0" autoLine="0" autoPict="0">
                <anchor moveWithCells="1">
                  <from>
                    <xdr:col>7</xdr:col>
                    <xdr:colOff>333375</xdr:colOff>
                    <xdr:row>18</xdr:row>
                    <xdr:rowOff>171450</xdr:rowOff>
                  </from>
                  <to>
                    <xdr:col>7</xdr:col>
                    <xdr:colOff>628650</xdr:colOff>
                    <xdr:row>18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Option Button 10">
              <controlPr defaultSize="0" autoFill="0" autoLine="0" autoPict="0">
                <anchor moveWithCells="1">
                  <from>
                    <xdr:col>7</xdr:col>
                    <xdr:colOff>333375</xdr:colOff>
                    <xdr:row>19</xdr:row>
                    <xdr:rowOff>142875</xdr:rowOff>
                  </from>
                  <to>
                    <xdr:col>7</xdr:col>
                    <xdr:colOff>628650</xdr:colOff>
                    <xdr:row>19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Option Button 11">
              <controlPr defaultSize="0" autoFill="0" autoLine="0" autoPict="0">
                <anchor moveWithCells="1">
                  <from>
                    <xdr:col>7</xdr:col>
                    <xdr:colOff>333375</xdr:colOff>
                    <xdr:row>20</xdr:row>
                    <xdr:rowOff>133350</xdr:rowOff>
                  </from>
                  <to>
                    <xdr:col>7</xdr:col>
                    <xdr:colOff>628650</xdr:colOff>
                    <xdr:row>20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" name="Option Button 13">
              <controlPr defaultSize="0" autoFill="0" autoLine="0" autoPict="0">
                <anchor moveWithCells="1">
                  <from>
                    <xdr:col>7</xdr:col>
                    <xdr:colOff>333375</xdr:colOff>
                    <xdr:row>21</xdr:row>
                    <xdr:rowOff>133350</xdr:rowOff>
                  </from>
                  <to>
                    <xdr:col>7</xdr:col>
                    <xdr:colOff>638175</xdr:colOff>
                    <xdr:row>21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6" name="Option Button 14">
              <controlPr defaultSize="0" autoFill="0" autoLine="0" autoPict="0">
                <anchor moveWithCells="1">
                  <from>
                    <xdr:col>7</xdr:col>
                    <xdr:colOff>333375</xdr:colOff>
                    <xdr:row>22</xdr:row>
                    <xdr:rowOff>180975</xdr:rowOff>
                  </from>
                  <to>
                    <xdr:col>7</xdr:col>
                    <xdr:colOff>638175</xdr:colOff>
                    <xdr:row>22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7" name="Option Button 15">
              <controlPr defaultSize="0" autoFill="0" autoLine="0" autoPict="0">
                <anchor moveWithCells="1">
                  <from>
                    <xdr:col>7</xdr:col>
                    <xdr:colOff>333375</xdr:colOff>
                    <xdr:row>23</xdr:row>
                    <xdr:rowOff>142875</xdr:rowOff>
                  </from>
                  <to>
                    <xdr:col>7</xdr:col>
                    <xdr:colOff>638175</xdr:colOff>
                    <xdr:row>23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8" name="Option Button 16">
              <controlPr defaultSize="0" autoFill="0" autoLine="0" autoPict="0">
                <anchor moveWithCells="1">
                  <from>
                    <xdr:col>7</xdr:col>
                    <xdr:colOff>333375</xdr:colOff>
                    <xdr:row>24</xdr:row>
                    <xdr:rowOff>180975</xdr:rowOff>
                  </from>
                  <to>
                    <xdr:col>7</xdr:col>
                    <xdr:colOff>638175</xdr:colOff>
                    <xdr:row>24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" name="Option Button 17">
              <controlPr defaultSize="0" autoFill="0" autoLine="0" autoPict="0">
                <anchor moveWithCells="1">
                  <from>
                    <xdr:col>7</xdr:col>
                    <xdr:colOff>333375</xdr:colOff>
                    <xdr:row>25</xdr:row>
                    <xdr:rowOff>133350</xdr:rowOff>
                  </from>
                  <to>
                    <xdr:col>7</xdr:col>
                    <xdr:colOff>638175</xdr:colOff>
                    <xdr:row>25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" name="Option Button 18">
              <controlPr defaultSize="0" autoFill="0" autoLine="0" autoPict="0">
                <anchor moveWithCells="1">
                  <from>
                    <xdr:col>7</xdr:col>
                    <xdr:colOff>333375</xdr:colOff>
                    <xdr:row>26</xdr:row>
                    <xdr:rowOff>114300</xdr:rowOff>
                  </from>
                  <to>
                    <xdr:col>7</xdr:col>
                    <xdr:colOff>638175</xdr:colOff>
                    <xdr:row>26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1" name="Option Button 19">
              <controlPr defaultSize="0" autoFill="0" autoLine="0" autoPict="0">
                <anchor moveWithCells="1">
                  <from>
                    <xdr:col>7</xdr:col>
                    <xdr:colOff>333375</xdr:colOff>
                    <xdr:row>27</xdr:row>
                    <xdr:rowOff>133350</xdr:rowOff>
                  </from>
                  <to>
                    <xdr:col>7</xdr:col>
                    <xdr:colOff>638175</xdr:colOff>
                    <xdr:row>27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2" name="Option Button 20">
              <controlPr defaultSize="0" autoFill="0" autoLine="0" autoPict="0">
                <anchor moveWithCells="1">
                  <from>
                    <xdr:col>7</xdr:col>
                    <xdr:colOff>333375</xdr:colOff>
                    <xdr:row>28</xdr:row>
                    <xdr:rowOff>133350</xdr:rowOff>
                  </from>
                  <to>
                    <xdr:col>7</xdr:col>
                    <xdr:colOff>638175</xdr:colOff>
                    <xdr:row>28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3" name="Option Button 21">
              <controlPr defaultSize="0" autoFill="0" autoLine="0" autoPict="0">
                <anchor moveWithCells="1">
                  <from>
                    <xdr:col>7</xdr:col>
                    <xdr:colOff>333375</xdr:colOff>
                    <xdr:row>29</xdr:row>
                    <xdr:rowOff>133350</xdr:rowOff>
                  </from>
                  <to>
                    <xdr:col>7</xdr:col>
                    <xdr:colOff>638175</xdr:colOff>
                    <xdr:row>29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4" name="Option Button 23">
              <controlPr defaultSize="0" autoFill="0" autoLine="0" autoPict="0">
                <anchor moveWithCells="1">
                  <from>
                    <xdr:col>7</xdr:col>
                    <xdr:colOff>333375</xdr:colOff>
                    <xdr:row>30</xdr:row>
                    <xdr:rowOff>247650</xdr:rowOff>
                  </from>
                  <to>
                    <xdr:col>7</xdr:col>
                    <xdr:colOff>638175</xdr:colOff>
                    <xdr:row>30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5" name="Option Button 25">
              <controlPr defaultSize="0" autoFill="0" autoLine="0" autoPict="0">
                <anchor moveWithCells="1">
                  <from>
                    <xdr:col>7</xdr:col>
                    <xdr:colOff>333375</xdr:colOff>
                    <xdr:row>31</xdr:row>
                    <xdr:rowOff>247650</xdr:rowOff>
                  </from>
                  <to>
                    <xdr:col>7</xdr:col>
                    <xdr:colOff>638175</xdr:colOff>
                    <xdr:row>31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6" name="Option Button 26">
              <controlPr defaultSize="0" autoFill="0" autoLine="0" autoPict="0">
                <anchor moveWithCells="1">
                  <from>
                    <xdr:col>7</xdr:col>
                    <xdr:colOff>333375</xdr:colOff>
                    <xdr:row>32</xdr:row>
                    <xdr:rowOff>333375</xdr:rowOff>
                  </from>
                  <to>
                    <xdr:col>7</xdr:col>
                    <xdr:colOff>638175</xdr:colOff>
                    <xdr:row>32</xdr:row>
                    <xdr:rowOff>552450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7" name="Option Button 27">
              <controlPr defaultSize="0" autoFill="0" autoLine="0" autoPict="0">
                <anchor moveWithCells="1">
                  <from>
                    <xdr:col>7</xdr:col>
                    <xdr:colOff>333375</xdr:colOff>
                    <xdr:row>33</xdr:row>
                    <xdr:rowOff>257175</xdr:rowOff>
                  </from>
                  <to>
                    <xdr:col>7</xdr:col>
                    <xdr:colOff>638175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8" name="Option Button 28">
              <controlPr defaultSize="0" autoFill="0" autoLine="0" autoPict="0">
                <anchor moveWithCells="1">
                  <from>
                    <xdr:col>7</xdr:col>
                    <xdr:colOff>333375</xdr:colOff>
                    <xdr:row>34</xdr:row>
                    <xdr:rowOff>257175</xdr:rowOff>
                  </from>
                  <to>
                    <xdr:col>7</xdr:col>
                    <xdr:colOff>638175</xdr:colOff>
                    <xdr:row>34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9" name="Option Button 29">
              <controlPr defaultSize="0" autoFill="0" autoLine="0" autoPict="0">
                <anchor moveWithCells="1">
                  <from>
                    <xdr:col>7</xdr:col>
                    <xdr:colOff>333375</xdr:colOff>
                    <xdr:row>35</xdr:row>
                    <xdr:rowOff>285750</xdr:rowOff>
                  </from>
                  <to>
                    <xdr:col>7</xdr:col>
                    <xdr:colOff>638175</xdr:colOff>
                    <xdr:row>35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0" name="Option Button 30">
              <controlPr defaultSize="0" autoFill="0" autoLine="0" autoPict="0">
                <anchor moveWithCells="1">
                  <from>
                    <xdr:col>7</xdr:col>
                    <xdr:colOff>333375</xdr:colOff>
                    <xdr:row>36</xdr:row>
                    <xdr:rowOff>66675</xdr:rowOff>
                  </from>
                  <to>
                    <xdr:col>7</xdr:col>
                    <xdr:colOff>638175</xdr:colOff>
                    <xdr:row>36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1" name="Option Button 31">
              <controlPr defaultSize="0" autoFill="0" autoLine="0" autoPict="0">
                <anchor moveWithCells="1">
                  <from>
                    <xdr:col>7</xdr:col>
                    <xdr:colOff>333375</xdr:colOff>
                    <xdr:row>37</xdr:row>
                    <xdr:rowOff>66675</xdr:rowOff>
                  </from>
                  <to>
                    <xdr:col>7</xdr:col>
                    <xdr:colOff>638175</xdr:colOff>
                    <xdr:row>37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2" name="Option Button 32">
              <controlPr defaultSize="0" autoFill="0" autoLine="0" autoPict="0">
                <anchor moveWithCells="1">
                  <from>
                    <xdr:col>7</xdr:col>
                    <xdr:colOff>333375</xdr:colOff>
                    <xdr:row>38</xdr:row>
                    <xdr:rowOff>285750</xdr:rowOff>
                  </from>
                  <to>
                    <xdr:col>7</xdr:col>
                    <xdr:colOff>638175</xdr:colOff>
                    <xdr:row>38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3" name="Option Button 33">
              <controlPr defaultSize="0" autoFill="0" autoLine="0" autoPict="0">
                <anchor moveWithCells="1">
                  <from>
                    <xdr:col>7</xdr:col>
                    <xdr:colOff>333375</xdr:colOff>
                    <xdr:row>39</xdr:row>
                    <xdr:rowOff>285750</xdr:rowOff>
                  </from>
                  <to>
                    <xdr:col>7</xdr:col>
                    <xdr:colOff>638175</xdr:colOff>
                    <xdr:row>39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4" name="Option Button 34">
              <controlPr defaultSize="0" autoFill="0" autoLine="0" autoPict="0">
                <anchor moveWithCells="1">
                  <from>
                    <xdr:col>7</xdr:col>
                    <xdr:colOff>333375</xdr:colOff>
                    <xdr:row>40</xdr:row>
                    <xdr:rowOff>285750</xdr:rowOff>
                  </from>
                  <to>
                    <xdr:col>7</xdr:col>
                    <xdr:colOff>638175</xdr:colOff>
                    <xdr:row>40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5" name="Check Box 35">
              <controlPr defaultSize="0" autoFill="0" autoLine="0" autoPict="0">
                <anchor moveWithCells="1">
                  <from>
                    <xdr:col>7</xdr:col>
                    <xdr:colOff>819150</xdr:colOff>
                    <xdr:row>41</xdr:row>
                    <xdr:rowOff>190500</xdr:rowOff>
                  </from>
                  <to>
                    <xdr:col>8</xdr:col>
                    <xdr:colOff>247650</xdr:colOff>
                    <xdr:row>41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6" name="Check Box 36">
              <controlPr defaultSize="0" autoFill="0" autoLine="0" autoPict="0">
                <anchor moveWithCells="1">
                  <from>
                    <xdr:col>7</xdr:col>
                    <xdr:colOff>742950</xdr:colOff>
                    <xdr:row>14</xdr:row>
                    <xdr:rowOff>57150</xdr:rowOff>
                  </from>
                  <to>
                    <xdr:col>8</xdr:col>
                    <xdr:colOff>266700</xdr:colOff>
                    <xdr:row>15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3AC4-36A4-4AD5-90F9-4F5DEF227D86}">
  <sheetPr filterMode="1"/>
  <dimension ref="A1:F130"/>
  <sheetViews>
    <sheetView zoomScaleNormal="100" workbookViewId="0">
      <selection activeCell="D81" sqref="D81"/>
    </sheetView>
  </sheetViews>
  <sheetFormatPr defaultColWidth="11" defaultRowHeight="14.25" x14ac:dyDescent="0.2"/>
  <cols>
    <col min="1" max="1" width="9.625" bestFit="1" customWidth="1"/>
    <col min="2" max="3" width="46.875" customWidth="1"/>
    <col min="4" max="4" width="15.875" bestFit="1" customWidth="1"/>
    <col min="5" max="5" width="37.25" customWidth="1"/>
    <col min="6" max="6" width="56.5" customWidth="1"/>
  </cols>
  <sheetData>
    <row r="1" spans="1:6" x14ac:dyDescent="0.2">
      <c r="A1" s="145" t="s">
        <v>103</v>
      </c>
      <c r="B1" s="145" t="s">
        <v>104</v>
      </c>
      <c r="C1" s="145" t="s">
        <v>105</v>
      </c>
      <c r="D1" s="145" t="s">
        <v>106</v>
      </c>
      <c r="E1" s="145" t="s">
        <v>107</v>
      </c>
      <c r="F1" s="145" t="s">
        <v>108</v>
      </c>
    </row>
    <row r="2" spans="1:6" hidden="1" x14ac:dyDescent="0.2">
      <c r="A2" s="145" t="s">
        <v>109</v>
      </c>
      <c r="B2" s="145" t="s">
        <v>110</v>
      </c>
      <c r="C2" s="145" t="str">
        <f>A2&amp;"_"&amp;B2</f>
        <v>01_ACTIVIDADES RUTINARIAS MENORES</v>
      </c>
      <c r="D2" s="145" t="s">
        <v>111</v>
      </c>
      <c r="E2" s="145" t="s">
        <v>112</v>
      </c>
      <c r="F2" s="145" t="str">
        <f>D2&amp;"_"&amp;E2</f>
        <v>402010001_BACHEO MANTENIMIENTO RUTINARIO</v>
      </c>
    </row>
    <row r="3" spans="1:6" hidden="1" x14ac:dyDescent="0.2">
      <c r="A3" s="145" t="s">
        <v>109</v>
      </c>
      <c r="B3" s="145" t="s">
        <v>110</v>
      </c>
      <c r="C3" s="145" t="str">
        <f t="shared" ref="C3:C66" si="0">A3&amp;"_"&amp;B3</f>
        <v>01_ACTIVIDADES RUTINARIAS MENORES</v>
      </c>
      <c r="D3" s="145" t="s">
        <v>113</v>
      </c>
      <c r="E3" s="145" t="s">
        <v>114</v>
      </c>
      <c r="F3" s="145" t="str">
        <f t="shared" ref="F3:F66" si="1">D3&amp;"_"&amp;E3</f>
        <v>402010002_BARRERAS NEW JERSEY</v>
      </c>
    </row>
    <row r="4" spans="1:6" hidden="1" x14ac:dyDescent="0.2">
      <c r="A4" s="145" t="s">
        <v>109</v>
      </c>
      <c r="B4" s="145" t="s">
        <v>110</v>
      </c>
      <c r="C4" s="145" t="str">
        <f t="shared" si="0"/>
        <v>01_ACTIVIDADES RUTINARIAS MENORES</v>
      </c>
      <c r="D4" s="145" t="s">
        <v>115</v>
      </c>
      <c r="E4" s="145" t="s">
        <v>116</v>
      </c>
      <c r="F4" s="145" t="str">
        <f t="shared" si="1"/>
        <v>402010003_CERCOS METÁLICOS Y MALLAS CIERRO</v>
      </c>
    </row>
    <row r="5" spans="1:6" hidden="1" x14ac:dyDescent="0.2">
      <c r="A5" s="145" t="s">
        <v>109</v>
      </c>
      <c r="B5" s="145" t="s">
        <v>110</v>
      </c>
      <c r="C5" s="145" t="str">
        <f t="shared" si="0"/>
        <v>01_ACTIVIDADES RUTINARIAS MENORES</v>
      </c>
      <c r="D5" s="145" t="s">
        <v>117</v>
      </c>
      <c r="E5" s="145" t="s">
        <v>118</v>
      </c>
      <c r="F5" s="145" t="str">
        <f t="shared" si="1"/>
        <v>402010004_CONTROL HIELOS PAVIMENTO</v>
      </c>
    </row>
    <row r="6" spans="1:6" hidden="1" x14ac:dyDescent="0.2">
      <c r="A6" s="145" t="s">
        <v>109</v>
      </c>
      <c r="B6" s="145" t="s">
        <v>110</v>
      </c>
      <c r="C6" s="145" t="str">
        <f t="shared" si="0"/>
        <v>01_ACTIVIDADES RUTINARIAS MENORES</v>
      </c>
      <c r="D6" s="145" t="s">
        <v>119</v>
      </c>
      <c r="E6" s="145" t="s">
        <v>120</v>
      </c>
      <c r="F6" s="145" t="str">
        <f t="shared" si="1"/>
        <v>402010006_EVENTOS SEGURIDAD VIAL</v>
      </c>
    </row>
    <row r="7" spans="1:6" hidden="1" x14ac:dyDescent="0.2">
      <c r="A7" s="145" t="s">
        <v>109</v>
      </c>
      <c r="B7" s="145" t="s">
        <v>110</v>
      </c>
      <c r="C7" s="145" t="str">
        <f t="shared" si="0"/>
        <v>01_ACTIVIDADES RUTINARIAS MENORES</v>
      </c>
      <c r="D7" s="145" t="s">
        <v>121</v>
      </c>
      <c r="E7" s="145" t="s">
        <v>122</v>
      </c>
      <c r="F7" s="145" t="str">
        <f t="shared" si="1"/>
        <v>402010007_MANTENIMIENTO  PANTALLAS ACÚSTICAS</v>
      </c>
    </row>
    <row r="8" spans="1:6" hidden="1" x14ac:dyDescent="0.2">
      <c r="A8" s="145" t="s">
        <v>109</v>
      </c>
      <c r="B8" s="145" t="s">
        <v>110</v>
      </c>
      <c r="C8" s="145" t="str">
        <f t="shared" si="0"/>
        <v>01_ACTIVIDADES RUTINARIAS MENORES</v>
      </c>
      <c r="D8" s="145" t="s">
        <v>123</v>
      </c>
      <c r="E8" s="145" t="s">
        <v>124</v>
      </c>
      <c r="F8" s="145" t="str">
        <f t="shared" si="1"/>
        <v>402010009_MANTENIMIENTO PARADEROS DE BUSES</v>
      </c>
    </row>
    <row r="9" spans="1:6" hidden="1" x14ac:dyDescent="0.2">
      <c r="A9" s="145" t="s">
        <v>109</v>
      </c>
      <c r="B9" s="145" t="s">
        <v>110</v>
      </c>
      <c r="C9" s="145" t="str">
        <f t="shared" si="0"/>
        <v>01_ACTIVIDADES RUTINARIAS MENORES</v>
      </c>
      <c r="D9" s="145" t="s">
        <v>125</v>
      </c>
      <c r="E9" s="145" t="s">
        <v>126</v>
      </c>
      <c r="F9" s="145" t="str">
        <f t="shared" si="1"/>
        <v>402010010_MANTENIMIENTO PLAZAS DE PEAJE</v>
      </c>
    </row>
    <row r="10" spans="1:6" hidden="1" x14ac:dyDescent="0.2">
      <c r="A10" s="145" t="s">
        <v>109</v>
      </c>
      <c r="B10" s="145" t="s">
        <v>110</v>
      </c>
      <c r="C10" s="145" t="str">
        <f t="shared" si="0"/>
        <v>01_ACTIVIDADES RUTINARIAS MENORES</v>
      </c>
      <c r="D10" s="145" t="s">
        <v>127</v>
      </c>
      <c r="E10" s="145" t="s">
        <v>128</v>
      </c>
      <c r="F10" s="145" t="str">
        <f t="shared" si="1"/>
        <v>402010011_MANTENIMIENTO RUTINARIO DE BERMAS</v>
      </c>
    </row>
    <row r="11" spans="1:6" hidden="1" x14ac:dyDescent="0.2">
      <c r="A11" s="145" t="s">
        <v>109</v>
      </c>
      <c r="B11" s="145" t="s">
        <v>110</v>
      </c>
      <c r="C11" s="145" t="str">
        <f t="shared" si="0"/>
        <v>01_ACTIVIDADES RUTINARIAS MENORES</v>
      </c>
      <c r="D11" s="145" t="s">
        <v>129</v>
      </c>
      <c r="E11" s="145" t="s">
        <v>130</v>
      </c>
      <c r="F11" s="145" t="str">
        <f t="shared" si="1"/>
        <v>402010012_MANTENIMIENTO RUTINARIO PAVIMENTOS</v>
      </c>
    </row>
    <row r="12" spans="1:6" hidden="1" x14ac:dyDescent="0.2">
      <c r="A12" s="145" t="s">
        <v>109</v>
      </c>
      <c r="B12" s="145" t="s">
        <v>110</v>
      </c>
      <c r="C12" s="145" t="str">
        <f t="shared" si="0"/>
        <v>01_ACTIVIDADES RUTINARIAS MENORES</v>
      </c>
      <c r="D12" s="145" t="s">
        <v>131</v>
      </c>
      <c r="E12" s="145" t="s">
        <v>132</v>
      </c>
      <c r="F12" s="145" t="str">
        <f t="shared" si="1"/>
        <v>402010013_MANTENIMIENTO RUTINARIO SEÑALES</v>
      </c>
    </row>
    <row r="13" spans="1:6" hidden="1" x14ac:dyDescent="0.2">
      <c r="A13" s="145" t="s">
        <v>109</v>
      </c>
      <c r="B13" s="145" t="s">
        <v>110</v>
      </c>
      <c r="C13" s="145" t="str">
        <f t="shared" si="0"/>
        <v>01_ACTIVIDADES RUTINARIAS MENORES</v>
      </c>
      <c r="D13" s="145" t="s">
        <v>133</v>
      </c>
      <c r="E13" s="145" t="s">
        <v>134</v>
      </c>
      <c r="F13" s="145" t="str">
        <f t="shared" si="1"/>
        <v>402010014_REPOSICIÓN DE PARADEROS DE BUSES</v>
      </c>
    </row>
    <row r="14" spans="1:6" hidden="1" x14ac:dyDescent="0.2">
      <c r="A14" s="145" t="s">
        <v>109</v>
      </c>
      <c r="B14" s="145" t="s">
        <v>110</v>
      </c>
      <c r="C14" s="145" t="str">
        <f t="shared" si="0"/>
        <v>01_ACTIVIDADES RUTINARIAS MENORES</v>
      </c>
      <c r="D14" s="145" t="s">
        <v>135</v>
      </c>
      <c r="E14" s="145" t="s">
        <v>136</v>
      </c>
      <c r="F14" s="145" t="str">
        <f t="shared" si="1"/>
        <v>402010015_RETIRO Y BORRADO PROPAGANDA</v>
      </c>
    </row>
    <row r="15" spans="1:6" hidden="1" x14ac:dyDescent="0.2">
      <c r="A15" s="145" t="s">
        <v>109</v>
      </c>
      <c r="B15" s="145" t="s">
        <v>137</v>
      </c>
      <c r="C15" s="145" t="str">
        <f t="shared" si="0"/>
        <v>01_ALQUILER DE MAQUINARIA, EQUIPOS Y HERRAMIENTAS</v>
      </c>
      <c r="D15" s="145" t="s">
        <v>138</v>
      </c>
      <c r="E15" s="145" t="s">
        <v>139</v>
      </c>
      <c r="F15" s="145" t="str">
        <f t="shared" si="1"/>
        <v>101010006_ALQUILER DE VEHÍCULOS</v>
      </c>
    </row>
    <row r="16" spans="1:6" hidden="1" x14ac:dyDescent="0.2">
      <c r="A16" s="145" t="s">
        <v>109</v>
      </c>
      <c r="B16" s="145" t="s">
        <v>140</v>
      </c>
      <c r="C16" s="145" t="str">
        <f t="shared" si="0"/>
        <v>01_ASEO Y CAFETERÍA</v>
      </c>
      <c r="D16" s="145" t="s">
        <v>141</v>
      </c>
      <c r="E16" s="145" t="s">
        <v>140</v>
      </c>
      <c r="F16" s="145" t="str">
        <f t="shared" si="1"/>
        <v>103010001_ASEO Y CAFETERÍA</v>
      </c>
    </row>
    <row r="17" spans="1:6" hidden="1" x14ac:dyDescent="0.2">
      <c r="A17" s="145" t="s">
        <v>109</v>
      </c>
      <c r="B17" s="145" t="s">
        <v>140</v>
      </c>
      <c r="C17" s="145" t="str">
        <f t="shared" si="0"/>
        <v>01_ASEO Y CAFETERÍA</v>
      </c>
      <c r="D17" s="145" t="s">
        <v>142</v>
      </c>
      <c r="E17" s="145" t="s">
        <v>143</v>
      </c>
      <c r="F17" s="145" t="str">
        <f t="shared" si="1"/>
        <v>103010003_SERVICIO DE ALIMENTACIÓN</v>
      </c>
    </row>
    <row r="18" spans="1:6" hidden="1" x14ac:dyDescent="0.2">
      <c r="A18" s="145" t="s">
        <v>109</v>
      </c>
      <c r="B18" s="145" t="s">
        <v>144</v>
      </c>
      <c r="C18" s="145" t="str">
        <f t="shared" si="0"/>
        <v>01_DEPORTES Y RECREACIÓN</v>
      </c>
      <c r="D18" s="145" t="s">
        <v>145</v>
      </c>
      <c r="E18" s="145" t="s">
        <v>146</v>
      </c>
      <c r="F18" s="145" t="str">
        <f t="shared" si="1"/>
        <v>111010003_SERVICIOS DE RECREACIÓN Y DEPORTE</v>
      </c>
    </row>
    <row r="19" spans="1:6" hidden="1" x14ac:dyDescent="0.2">
      <c r="A19" s="145" t="s">
        <v>109</v>
      </c>
      <c r="B19" s="145" t="s">
        <v>147</v>
      </c>
      <c r="C19" s="145" t="str">
        <f t="shared" si="0"/>
        <v>01_DESARROLLO DE SOFTWARE</v>
      </c>
      <c r="D19" s="145" t="s">
        <v>148</v>
      </c>
      <c r="E19" s="145" t="s">
        <v>147</v>
      </c>
      <c r="F19" s="145" t="str">
        <f t="shared" si="1"/>
        <v>112010001_DESARROLLO DE SOFTWARE</v>
      </c>
    </row>
    <row r="20" spans="1:6" hidden="1" x14ac:dyDescent="0.2">
      <c r="A20" s="145" t="s">
        <v>109</v>
      </c>
      <c r="B20" s="145" t="s">
        <v>149</v>
      </c>
      <c r="C20" s="145" t="str">
        <f t="shared" si="0"/>
        <v>01_PUBLICIDAD, MERCADEO Y COMUNICACIONES</v>
      </c>
      <c r="D20" s="145" t="s">
        <v>150</v>
      </c>
      <c r="E20" s="145" t="s">
        <v>151</v>
      </c>
      <c r="F20" s="145" t="str">
        <f t="shared" si="1"/>
        <v xml:space="preserve">106010002_AVISOS Y PUBLICACIONES </v>
      </c>
    </row>
    <row r="21" spans="1:6" hidden="1" x14ac:dyDescent="0.2">
      <c r="A21" s="145" t="s">
        <v>109</v>
      </c>
      <c r="B21" s="145" t="s">
        <v>149</v>
      </c>
      <c r="C21" s="145" t="str">
        <f t="shared" si="0"/>
        <v>01_PUBLICIDAD, MERCADEO Y COMUNICACIONES</v>
      </c>
      <c r="D21" s="145" t="s">
        <v>152</v>
      </c>
      <c r="E21" s="145" t="s">
        <v>153</v>
      </c>
      <c r="F21" s="145" t="str">
        <f t="shared" si="1"/>
        <v>106010004_DISEÑO E IMPRESIÓN DIGITAL</v>
      </c>
    </row>
    <row r="22" spans="1:6" hidden="1" x14ac:dyDescent="0.2">
      <c r="A22" s="145" t="s">
        <v>109</v>
      </c>
      <c r="B22" s="145" t="s">
        <v>149</v>
      </c>
      <c r="C22" s="145" t="str">
        <f t="shared" si="0"/>
        <v>01_PUBLICIDAD, MERCADEO Y COMUNICACIONES</v>
      </c>
      <c r="D22" s="145" t="s">
        <v>154</v>
      </c>
      <c r="E22" s="145" t="s">
        <v>155</v>
      </c>
      <c r="F22" s="145" t="str">
        <f t="shared" si="1"/>
        <v>106010005_DISEÑO Y GESTIÓN DE ESTRATEGIAS DE COMUNICACIÓN</v>
      </c>
    </row>
    <row r="23" spans="1:6" hidden="1" x14ac:dyDescent="0.2">
      <c r="A23" s="145" t="s">
        <v>109</v>
      </c>
      <c r="B23" s="145" t="s">
        <v>149</v>
      </c>
      <c r="C23" s="145" t="str">
        <f t="shared" si="0"/>
        <v>01_PUBLICIDAD, MERCADEO Y COMUNICACIONES</v>
      </c>
      <c r="D23" s="145" t="s">
        <v>156</v>
      </c>
      <c r="E23" s="145" t="s">
        <v>157</v>
      </c>
      <c r="F23" s="145" t="str">
        <f t="shared" si="1"/>
        <v>106010007_ELABORACIÓN DE PIEZAS COMUNICACIONALES</v>
      </c>
    </row>
    <row r="24" spans="1:6" hidden="1" x14ac:dyDescent="0.2">
      <c r="A24" s="145" t="s">
        <v>109</v>
      </c>
      <c r="B24" s="145" t="s">
        <v>149</v>
      </c>
      <c r="C24" s="145" t="str">
        <f t="shared" si="0"/>
        <v>01_PUBLICIDAD, MERCADEO Y COMUNICACIONES</v>
      </c>
      <c r="D24" s="145" t="s">
        <v>158</v>
      </c>
      <c r="E24" s="145" t="s">
        <v>159</v>
      </c>
      <c r="F24" s="145" t="str">
        <f t="shared" si="1"/>
        <v>106010008_ENCUESTAS</v>
      </c>
    </row>
    <row r="25" spans="1:6" hidden="1" x14ac:dyDescent="0.2">
      <c r="A25" s="145" t="s">
        <v>109</v>
      </c>
      <c r="B25" s="145" t="s">
        <v>160</v>
      </c>
      <c r="C25" s="145" t="str">
        <f t="shared" si="0"/>
        <v>01_SERVICIOS ADMINISTRATIVOS</v>
      </c>
      <c r="D25" s="145" t="s">
        <v>161</v>
      </c>
      <c r="E25" s="145" t="s">
        <v>162</v>
      </c>
      <c r="F25" s="145" t="str">
        <f t="shared" si="1"/>
        <v>108010001_ADMINISTRACIÓN DOCUMENTAL</v>
      </c>
    </row>
    <row r="26" spans="1:6" hidden="1" x14ac:dyDescent="0.2">
      <c r="A26" s="145" t="s">
        <v>109</v>
      </c>
      <c r="B26" s="145" t="s">
        <v>160</v>
      </c>
      <c r="C26" s="145" t="str">
        <f t="shared" si="0"/>
        <v>01_SERVICIOS ADMINISTRATIVOS</v>
      </c>
      <c r="D26" s="145" t="s">
        <v>163</v>
      </c>
      <c r="E26" s="145" t="s">
        <v>164</v>
      </c>
      <c r="F26" s="145" t="str">
        <f t="shared" si="1"/>
        <v>108010008_SERVICIOS DE IMPRESIÓN Y REPROGRAFÍA</v>
      </c>
    </row>
    <row r="27" spans="1:6" hidden="1" x14ac:dyDescent="0.2">
      <c r="A27" s="145" t="s">
        <v>109</v>
      </c>
      <c r="B27" s="145" t="s">
        <v>165</v>
      </c>
      <c r="C27" s="145" t="str">
        <f t="shared" si="0"/>
        <v>01_SERVICIOS FINANCIEROS</v>
      </c>
      <c r="D27" s="145" t="s">
        <v>166</v>
      </c>
      <c r="E27" s="145" t="s">
        <v>167</v>
      </c>
      <c r="F27" s="145" t="str">
        <f t="shared" si="1"/>
        <v>109010003_ASESORÍAS Y/O CONSULTORÍAS EN SERVICIOS FINANCIEROS</v>
      </c>
    </row>
    <row r="28" spans="1:6" hidden="1" x14ac:dyDescent="0.2">
      <c r="A28" s="145" t="s">
        <v>109</v>
      </c>
      <c r="B28" s="145" t="s">
        <v>165</v>
      </c>
      <c r="C28" s="145" t="str">
        <f t="shared" si="0"/>
        <v>01_SERVICIOS FINANCIEROS</v>
      </c>
      <c r="D28" s="145" t="s">
        <v>168</v>
      </c>
      <c r="E28" s="145" t="s">
        <v>169</v>
      </c>
      <c r="F28" s="145" t="str">
        <f t="shared" si="1"/>
        <v>109010007_SERVICIO DE ASEGURAMIENTO</v>
      </c>
    </row>
    <row r="29" spans="1:6" hidden="1" x14ac:dyDescent="0.2">
      <c r="A29" s="145" t="s">
        <v>109</v>
      </c>
      <c r="B29" s="145" t="s">
        <v>165</v>
      </c>
      <c r="C29" s="145" t="str">
        <f t="shared" si="0"/>
        <v>01_SERVICIOS FINANCIEROS</v>
      </c>
      <c r="D29" s="145" t="s">
        <v>170</v>
      </c>
      <c r="E29" s="145" t="s">
        <v>171</v>
      </c>
      <c r="F29" s="145" t="str">
        <f t="shared" si="1"/>
        <v>109010008_SERVICIO DE INTERMEDIACIÓN DE SEGUROS</v>
      </c>
    </row>
    <row r="30" spans="1:6" hidden="1" x14ac:dyDescent="0.2">
      <c r="A30" s="145" t="s">
        <v>109</v>
      </c>
      <c r="B30" s="145" t="s">
        <v>172</v>
      </c>
      <c r="C30" s="145" t="str">
        <f t="shared" si="0"/>
        <v>01_SERVICIOS PARA LA GESTIÓN AMBIENTAL Y SOCIAL</v>
      </c>
      <c r="D30" s="145" t="s">
        <v>173</v>
      </c>
      <c r="E30" s="145" t="s">
        <v>174</v>
      </c>
      <c r="F30" s="145" t="str">
        <f t="shared" si="1"/>
        <v>113010001_ELABORACIÓN DE ESTUDIOS AMBIENTALES</v>
      </c>
    </row>
    <row r="31" spans="1:6" hidden="1" x14ac:dyDescent="0.2">
      <c r="A31" s="145" t="s">
        <v>109</v>
      </c>
      <c r="B31" s="145" t="s">
        <v>175</v>
      </c>
      <c r="C31" s="145" t="str">
        <f t="shared" si="0"/>
        <v>01_SUMINISTRO SISTEMAS DE CONTENCIÓN VIAL</v>
      </c>
      <c r="D31" s="145" t="s">
        <v>176</v>
      </c>
      <c r="E31" s="145" t="s">
        <v>175</v>
      </c>
      <c r="F31" s="145" t="str">
        <f t="shared" si="1"/>
        <v>401010001_SUMINISTRO SISTEMAS DE CONTENCIÓN VIAL</v>
      </c>
    </row>
    <row r="32" spans="1:6" hidden="1" x14ac:dyDescent="0.2">
      <c r="A32" s="145" t="s">
        <v>177</v>
      </c>
      <c r="B32" s="145" t="s">
        <v>178</v>
      </c>
      <c r="C32" s="145" t="str">
        <f t="shared" si="0"/>
        <v>02_DOTACIÓN</v>
      </c>
      <c r="D32" s="145" t="s">
        <v>179</v>
      </c>
      <c r="E32" s="145" t="s">
        <v>180</v>
      </c>
      <c r="F32" s="145" t="str">
        <f t="shared" si="1"/>
        <v>111020001_UNIFORMES DE DOTACIÓN</v>
      </c>
    </row>
    <row r="33" spans="1:6" hidden="1" x14ac:dyDescent="0.2">
      <c r="A33" s="145" t="s">
        <v>177</v>
      </c>
      <c r="B33" s="145" t="s">
        <v>181</v>
      </c>
      <c r="C33" s="145" t="str">
        <f t="shared" si="0"/>
        <v>02_ASESORÍAS Y/O CONSULTORÍAS GENERALES</v>
      </c>
      <c r="D33" s="145" t="s">
        <v>182</v>
      </c>
      <c r="E33" s="145" t="s">
        <v>183</v>
      </c>
      <c r="F33" s="145" t="str">
        <f t="shared" si="1"/>
        <v>110020006_ASESORÍAS Y/O CONSULTORÍAS EN TECNOLOGÍA COMUNES O ESPECIALIZADAS</v>
      </c>
    </row>
    <row r="34" spans="1:6" hidden="1" x14ac:dyDescent="0.2">
      <c r="A34" s="145" t="s">
        <v>177</v>
      </c>
      <c r="B34" s="145" t="s">
        <v>181</v>
      </c>
      <c r="C34" s="145" t="str">
        <f t="shared" si="0"/>
        <v>02_ASESORÍAS Y/O CONSULTORÍAS GENERALES</v>
      </c>
      <c r="D34" s="145" t="s">
        <v>184</v>
      </c>
      <c r="E34" s="145" t="s">
        <v>185</v>
      </c>
      <c r="F34" s="145" t="str">
        <f t="shared" si="1"/>
        <v>110020007_ASESORÍAS Y/O CONSULTORÍAS ESTRATÉGICAS</v>
      </c>
    </row>
    <row r="35" spans="1:6" hidden="1" x14ac:dyDescent="0.2">
      <c r="A35" s="145" t="s">
        <v>177</v>
      </c>
      <c r="B35" s="145" t="s">
        <v>186</v>
      </c>
      <c r="C35" s="145" t="str">
        <f t="shared" si="0"/>
        <v>02_SERVICIOS POSTALES Y DE MENSAJERÍA</v>
      </c>
      <c r="D35" s="145" t="s">
        <v>187</v>
      </c>
      <c r="E35" s="145" t="s">
        <v>188</v>
      </c>
      <c r="F35" s="145" t="str">
        <f t="shared" si="1"/>
        <v>108020003_SERVICIO DE MENSAJERÍA</v>
      </c>
    </row>
    <row r="36" spans="1:6" hidden="1" x14ac:dyDescent="0.2">
      <c r="A36" s="145" t="s">
        <v>177</v>
      </c>
      <c r="B36" s="145" t="s">
        <v>189</v>
      </c>
      <c r="C36" s="145" t="str">
        <f t="shared" si="0"/>
        <v>02_PARTES Y ACCESORIOS PARA EQUIPOS DE CÓMPUTO, SERVIDORES, REDES, BACKUP Y ALMACENAMIENTO</v>
      </c>
      <c r="D36" s="145" t="s">
        <v>190</v>
      </c>
      <c r="E36" s="145" t="s">
        <v>189</v>
      </c>
      <c r="F36" s="145" t="str">
        <f t="shared" si="1"/>
        <v>112020001_PARTES Y ACCESORIOS PARA EQUIPOS DE CÓMPUTO, SERVIDORES, REDES, BACKUP Y ALMACENAMIENTO</v>
      </c>
    </row>
    <row r="37" spans="1:6" hidden="1" x14ac:dyDescent="0.2">
      <c r="A37" s="145" t="s">
        <v>177</v>
      </c>
      <c r="B37" s="145" t="s">
        <v>191</v>
      </c>
      <c r="C37" s="145" t="str">
        <f t="shared" si="0"/>
        <v>02_ASESORÍAS Y/O CONSULTORÍAS TÉCNICAS EN VÍAS</v>
      </c>
      <c r="D37" s="145" t="s">
        <v>192</v>
      </c>
      <c r="E37" s="145" t="s">
        <v>193</v>
      </c>
      <c r="F37" s="145" t="str">
        <f t="shared" si="1"/>
        <v>402020001_ESTUDIOS Y PROYECTOS VIALES</v>
      </c>
    </row>
    <row r="38" spans="1:6" hidden="1" x14ac:dyDescent="0.2">
      <c r="A38" s="145" t="s">
        <v>194</v>
      </c>
      <c r="B38" s="145" t="s">
        <v>195</v>
      </c>
      <c r="C38" s="145" t="str">
        <f t="shared" si="0"/>
        <v>03_MANTENIMIENTO LOCATIVO</v>
      </c>
      <c r="D38" s="145" t="s">
        <v>196</v>
      </c>
      <c r="E38" s="145" t="s">
        <v>197</v>
      </c>
      <c r="F38" s="145" t="str">
        <f t="shared" si="1"/>
        <v>103030005_MANTENIMIENTO ELÉCTRICO</v>
      </c>
    </row>
    <row r="39" spans="1:6" hidden="1" x14ac:dyDescent="0.2">
      <c r="A39" s="145" t="s">
        <v>194</v>
      </c>
      <c r="B39" s="145" t="s">
        <v>195</v>
      </c>
      <c r="C39" s="145" t="str">
        <f t="shared" si="0"/>
        <v>03_MANTENIMIENTO LOCATIVO</v>
      </c>
      <c r="D39" s="145" t="s">
        <v>198</v>
      </c>
      <c r="E39" s="145" t="s">
        <v>199</v>
      </c>
      <c r="F39" s="145" t="str">
        <f t="shared" si="1"/>
        <v>103030006_MANTENIMIENTO LOCATIVO GENERAL (TECHOS, PAREDES, PINTURA, JARDINES, ETC)</v>
      </c>
    </row>
    <row r="40" spans="1:6" hidden="1" x14ac:dyDescent="0.2">
      <c r="A40" s="145" t="s">
        <v>194</v>
      </c>
      <c r="B40" s="145" t="s">
        <v>200</v>
      </c>
      <c r="C40" s="145" t="str">
        <f t="shared" si="0"/>
        <v>03_MANTENIMIENTO DE EQUIPOS GENERALES</v>
      </c>
      <c r="D40" s="145" t="s">
        <v>201</v>
      </c>
      <c r="E40" s="145" t="s">
        <v>202</v>
      </c>
      <c r="F40" s="145" t="str">
        <f t="shared" si="1"/>
        <v>101030005_MANTENIMIENTO EQUIPOS PARA USO EN INFRAESTRUCTURA Y ZONAS COMUNES</v>
      </c>
    </row>
    <row r="41" spans="1:6" hidden="1" x14ac:dyDescent="0.2">
      <c r="A41" s="145" t="s">
        <v>194</v>
      </c>
      <c r="B41" s="145" t="s">
        <v>200</v>
      </c>
      <c r="C41" s="145" t="str">
        <f t="shared" si="0"/>
        <v>03_MANTENIMIENTO DE EQUIPOS GENERALES</v>
      </c>
      <c r="D41" s="145" t="s">
        <v>203</v>
      </c>
      <c r="E41" s="145" t="s">
        <v>204</v>
      </c>
      <c r="F41" s="145" t="str">
        <f t="shared" si="1"/>
        <v>101030009_MANTENIMIENTO VEHÍCULOS</v>
      </c>
    </row>
    <row r="42" spans="1:6" hidden="1" x14ac:dyDescent="0.2">
      <c r="A42" s="145" t="s">
        <v>194</v>
      </c>
      <c r="B42" s="145" t="s">
        <v>205</v>
      </c>
      <c r="C42" s="145" t="str">
        <f t="shared" si="0"/>
        <v>03_CONSTRUCCIÓN DE ELEMENTOS DE DRENAJE SUBSUPERFICIAL</v>
      </c>
      <c r="D42" s="145" t="s">
        <v>206</v>
      </c>
      <c r="E42" s="145" t="s">
        <v>207</v>
      </c>
      <c r="F42" s="145" t="str">
        <f t="shared" si="1"/>
        <v>402030001_DRENES Y SUBDRENES</v>
      </c>
    </row>
    <row r="43" spans="1:6" hidden="1" x14ac:dyDescent="0.2">
      <c r="A43" s="145" t="s">
        <v>194</v>
      </c>
      <c r="B43" s="145" t="s">
        <v>208</v>
      </c>
      <c r="C43" s="145" t="str">
        <f t="shared" si="0"/>
        <v>03_FORMACIÓN</v>
      </c>
      <c r="D43" s="145" t="s">
        <v>209</v>
      </c>
      <c r="E43" s="145" t="s">
        <v>210</v>
      </c>
      <c r="F43" s="145" t="str">
        <f t="shared" si="1"/>
        <v>111030001_ELABORACIÓN DE CURSOS VIRTUALES</v>
      </c>
    </row>
    <row r="44" spans="1:6" hidden="1" x14ac:dyDescent="0.2">
      <c r="A44" s="145" t="s">
        <v>194</v>
      </c>
      <c r="B44" s="145" t="s">
        <v>208</v>
      </c>
      <c r="C44" s="145" t="str">
        <f t="shared" si="0"/>
        <v>03_FORMACIÓN</v>
      </c>
      <c r="D44" s="145" t="s">
        <v>211</v>
      </c>
      <c r="E44" s="145" t="s">
        <v>212</v>
      </c>
      <c r="F44" s="145" t="str">
        <f t="shared" si="1"/>
        <v>111030002_EVENTOS DE FORMACIÓN</v>
      </c>
    </row>
    <row r="45" spans="1:6" hidden="1" x14ac:dyDescent="0.2">
      <c r="A45" s="145" t="s">
        <v>194</v>
      </c>
      <c r="B45" s="145" t="s">
        <v>213</v>
      </c>
      <c r="C45" s="145" t="str">
        <f t="shared" si="0"/>
        <v>03_AUDITORÍAS</v>
      </c>
      <c r="D45" s="145" t="s">
        <v>214</v>
      </c>
      <c r="E45" s="145" t="s">
        <v>215</v>
      </c>
      <c r="F45" s="145" t="str">
        <f t="shared" si="1"/>
        <v>110030004_AUDITORÍAS INTERNAS</v>
      </c>
    </row>
    <row r="46" spans="1:6" hidden="1" x14ac:dyDescent="0.2">
      <c r="A46" s="145" t="s">
        <v>216</v>
      </c>
      <c r="B46" s="145" t="s">
        <v>217</v>
      </c>
      <c r="C46" s="145" t="str">
        <f t="shared" si="0"/>
        <v>04_SERVICIOS DE TELECOMUNICACIONES ADMINISTRATIVOS</v>
      </c>
      <c r="D46" s="145" t="s">
        <v>218</v>
      </c>
      <c r="E46" s="145" t="s">
        <v>217</v>
      </c>
      <c r="F46" s="145" t="str">
        <f t="shared" si="1"/>
        <v>112040001_SERVICIOS DE TELECOMUNICACIONES ADMINISTRATIVOS</v>
      </c>
    </row>
    <row r="47" spans="1:6" hidden="1" x14ac:dyDescent="0.2">
      <c r="A47" s="145" t="s">
        <v>216</v>
      </c>
      <c r="B47" s="145" t="s">
        <v>219</v>
      </c>
      <c r="C47" s="145" t="str">
        <f t="shared" si="0"/>
        <v>04_SERVICIOS JURÍDICOS</v>
      </c>
      <c r="D47" s="145" t="s">
        <v>220</v>
      </c>
      <c r="E47" s="145" t="s">
        <v>221</v>
      </c>
      <c r="F47" s="145" t="str">
        <f t="shared" si="1"/>
        <v xml:space="preserve">110040001_ASESORÍA JURÍDICA Y REGULATORIA </v>
      </c>
    </row>
    <row r="48" spans="1:6" hidden="1" x14ac:dyDescent="0.2">
      <c r="A48" s="145" t="s">
        <v>216</v>
      </c>
      <c r="B48" s="145" t="s">
        <v>219</v>
      </c>
      <c r="C48" s="145" t="str">
        <f t="shared" si="0"/>
        <v>04_SERVICIOS JURÍDICOS</v>
      </c>
      <c r="D48" s="145" t="s">
        <v>222</v>
      </c>
      <c r="E48" s="145" t="s">
        <v>223</v>
      </c>
      <c r="F48" s="145" t="str">
        <f t="shared" si="1"/>
        <v xml:space="preserve">110040005_SERVICIOS NOTARIALES </v>
      </c>
    </row>
    <row r="49" spans="1:6" hidden="1" x14ac:dyDescent="0.2">
      <c r="A49" s="145" t="s">
        <v>216</v>
      </c>
      <c r="B49" s="145" t="s">
        <v>224</v>
      </c>
      <c r="C49" s="145" t="str">
        <f t="shared" si="0"/>
        <v>04_MATERIALES Y HERRAMIENTAS DE USO GENERAL</v>
      </c>
      <c r="D49" s="145" t="s">
        <v>225</v>
      </c>
      <c r="E49" s="145" t="s">
        <v>226</v>
      </c>
      <c r="F49" s="145" t="str">
        <f t="shared" si="1"/>
        <v>101040004_COMBUSTIBLES</v>
      </c>
    </row>
    <row r="50" spans="1:6" hidden="1" x14ac:dyDescent="0.2">
      <c r="A50" s="145" t="s">
        <v>216</v>
      </c>
      <c r="B50" s="145" t="s">
        <v>227</v>
      </c>
      <c r="C50" s="145" t="str">
        <f t="shared" si="0"/>
        <v>04_CONSTRUCCIÓN, MANTENIMIENTO Y REPARACIÓN DE TALUDES</v>
      </c>
      <c r="D50" s="145" t="s">
        <v>228</v>
      </c>
      <c r="E50" s="145" t="s">
        <v>229</v>
      </c>
      <c r="F50" s="145" t="str">
        <f t="shared" si="1"/>
        <v>402040001_CONTENCIÓN TALUDES</v>
      </c>
    </row>
    <row r="51" spans="1:6" hidden="1" x14ac:dyDescent="0.2">
      <c r="A51" s="145" t="s">
        <v>216</v>
      </c>
      <c r="B51" s="145" t="s">
        <v>230</v>
      </c>
      <c r="C51" s="145" t="str">
        <f t="shared" si="0"/>
        <v>04_SERVICIOS DE GESTIÓN HUMANA</v>
      </c>
      <c r="D51" s="145" t="s">
        <v>231</v>
      </c>
      <c r="E51" s="145" t="s">
        <v>232</v>
      </c>
      <c r="F51" s="145" t="str">
        <f t="shared" si="1"/>
        <v>111040007_MEDICIONES DE GESTIÓN HUMANA</v>
      </c>
    </row>
    <row r="52" spans="1:6" hidden="1" x14ac:dyDescent="0.2">
      <c r="A52" s="145" t="s">
        <v>233</v>
      </c>
      <c r="B52" s="145" t="s">
        <v>234</v>
      </c>
      <c r="C52" s="145" t="str">
        <f t="shared" si="0"/>
        <v>05_SUMINISTROS GENERALES ADMINISTRATIVOS</v>
      </c>
      <c r="D52" s="145" t="s">
        <v>235</v>
      </c>
      <c r="E52" s="145" t="s">
        <v>236</v>
      </c>
      <c r="F52" s="145" t="str">
        <f t="shared" si="1"/>
        <v>101050001_AGUA POTABLE PARA SEDES Y SUBESTACIONES</v>
      </c>
    </row>
    <row r="53" spans="1:6" hidden="1" x14ac:dyDescent="0.2">
      <c r="A53" s="145" t="s">
        <v>233</v>
      </c>
      <c r="B53" s="145" t="s">
        <v>234</v>
      </c>
      <c r="C53" s="145" t="str">
        <f t="shared" si="0"/>
        <v>05_SUMINISTROS GENERALES ADMINISTRATIVOS</v>
      </c>
      <c r="D53" s="145" t="s">
        <v>237</v>
      </c>
      <c r="E53" s="145" t="s">
        <v>238</v>
      </c>
      <c r="F53" s="145" t="str">
        <f t="shared" si="1"/>
        <v>101050007_ÚTILES DE ESCRITORIO Y PAPELERÍA</v>
      </c>
    </row>
    <row r="54" spans="1:6" hidden="1" x14ac:dyDescent="0.2">
      <c r="A54" s="145" t="s">
        <v>233</v>
      </c>
      <c r="B54" s="145" t="s">
        <v>239</v>
      </c>
      <c r="C54" s="145" t="str">
        <f t="shared" si="0"/>
        <v>05_GESTIÓN COMERCIAL RECAUDO ELECTRÓNICO Y TAG</v>
      </c>
      <c r="D54" s="145" t="s">
        <v>240</v>
      </c>
      <c r="E54" s="145" t="s">
        <v>241</v>
      </c>
      <c r="F54" s="145" t="str">
        <f t="shared" si="1"/>
        <v>402050001_COBRANZA MEDIOS DE PAGO ELECTRÓNICOS</v>
      </c>
    </row>
    <row r="55" spans="1:6" hidden="1" x14ac:dyDescent="0.2">
      <c r="A55" s="145" t="s">
        <v>233</v>
      </c>
      <c r="B55" s="145" t="s">
        <v>239</v>
      </c>
      <c r="C55" s="145" t="str">
        <f t="shared" si="0"/>
        <v>05_GESTIÓN COMERCIAL RECAUDO ELECTRÓNICO Y TAG</v>
      </c>
      <c r="D55" s="145" t="s">
        <v>242</v>
      </c>
      <c r="E55" s="145" t="s">
        <v>243</v>
      </c>
      <c r="F55" s="145" t="str">
        <f t="shared" si="1"/>
        <v>402050002_OFICINAS COMERCIALES</v>
      </c>
    </row>
    <row r="56" spans="1:6" hidden="1" x14ac:dyDescent="0.2">
      <c r="A56" s="145" t="s">
        <v>233</v>
      </c>
      <c r="B56" s="145" t="s">
        <v>239</v>
      </c>
      <c r="C56" s="145" t="str">
        <f t="shared" si="0"/>
        <v>05_GESTIÓN COMERCIAL RECAUDO ELECTRÓNICO Y TAG</v>
      </c>
      <c r="D56" s="145" t="s">
        <v>244</v>
      </c>
      <c r="E56" s="145" t="s">
        <v>245</v>
      </c>
      <c r="F56" s="145" t="str">
        <f t="shared" si="1"/>
        <v>402050004_SERVICIO MEDIOS DE PAGO ELECTRÓNICOS</v>
      </c>
    </row>
    <row r="57" spans="1:6" hidden="1" x14ac:dyDescent="0.2">
      <c r="A57" s="145" t="s">
        <v>233</v>
      </c>
      <c r="B57" s="145" t="s">
        <v>246</v>
      </c>
      <c r="C57" s="145" t="str">
        <f t="shared" si="0"/>
        <v>05_SOLUCIONES DE CIBERSEGURIDAD ESPECÍFICAS</v>
      </c>
      <c r="D57" s="145" t="s">
        <v>247</v>
      </c>
      <c r="E57" s="145" t="s">
        <v>246</v>
      </c>
      <c r="F57" s="145" t="str">
        <f t="shared" si="1"/>
        <v>112050001_SOLUCIONES DE CIBERSEGURIDAD ESPECÍFICAS</v>
      </c>
    </row>
    <row r="58" spans="1:6" hidden="1" x14ac:dyDescent="0.2">
      <c r="A58" s="145" t="s">
        <v>248</v>
      </c>
      <c r="B58" s="145" t="s">
        <v>249</v>
      </c>
      <c r="C58" s="145" t="str">
        <f t="shared" si="0"/>
        <v>06_SOLUCIONES DE CIBERSEGURIDAD HOMOLOGADAS PARA EL GRUPO</v>
      </c>
      <c r="D58" s="145" t="s">
        <v>250</v>
      </c>
      <c r="E58" s="145" t="s">
        <v>249</v>
      </c>
      <c r="F58" s="145" t="str">
        <f t="shared" si="1"/>
        <v>112060001_SOLUCIONES DE CIBERSEGURIDAD HOMOLOGADAS PARA EL GRUPO</v>
      </c>
    </row>
    <row r="59" spans="1:6" hidden="1" x14ac:dyDescent="0.2">
      <c r="A59" s="145" t="s">
        <v>248</v>
      </c>
      <c r="B59" s="145" t="s">
        <v>251</v>
      </c>
      <c r="C59" s="145" t="str">
        <f t="shared" si="0"/>
        <v>06_INSTALACIÓN Y REPARACIÓN SISTEMAS DE CONTENCIÓN VIAL</v>
      </c>
      <c r="D59" s="145" t="s">
        <v>252</v>
      </c>
      <c r="E59" s="145" t="s">
        <v>251</v>
      </c>
      <c r="F59" s="145" t="str">
        <f t="shared" si="1"/>
        <v>402060001_INSTALACIÓN Y REPARACIÓN SISTEMAS DE CONTENCIÓN VIAL</v>
      </c>
    </row>
    <row r="60" spans="1:6" hidden="1" x14ac:dyDescent="0.2">
      <c r="A60" s="145" t="s">
        <v>253</v>
      </c>
      <c r="B60" s="145" t="s">
        <v>254</v>
      </c>
      <c r="C60" s="145" t="str">
        <f t="shared" si="0"/>
        <v>07_SOLUCIONES DE CÓMPUTO PERSONAL</v>
      </c>
      <c r="D60" s="145" t="s">
        <v>255</v>
      </c>
      <c r="E60" s="145" t="s">
        <v>254</v>
      </c>
      <c r="F60" s="145" t="str">
        <f t="shared" si="1"/>
        <v>112070001_SOLUCIONES DE CÓMPUTO PERSONAL</v>
      </c>
    </row>
    <row r="61" spans="1:6" hidden="1" x14ac:dyDescent="0.2">
      <c r="A61" s="145" t="s">
        <v>253</v>
      </c>
      <c r="B61" s="145" t="s">
        <v>256</v>
      </c>
      <c r="C61" s="145" t="str">
        <f t="shared" si="0"/>
        <v>07_VIGILANCIA</v>
      </c>
      <c r="D61" s="145" t="s">
        <v>257</v>
      </c>
      <c r="E61" s="145" t="s">
        <v>258</v>
      </c>
      <c r="F61" s="145" t="str">
        <f t="shared" si="1"/>
        <v>103070002_SERVICIO DE VIGILANCIA Y SEGURIDAD</v>
      </c>
    </row>
    <row r="62" spans="1:6" hidden="1" x14ac:dyDescent="0.2">
      <c r="A62" s="145" t="s">
        <v>253</v>
      </c>
      <c r="B62" s="145" t="s">
        <v>259</v>
      </c>
      <c r="C62" s="145" t="str">
        <f t="shared" si="0"/>
        <v>07_MANTENIMIENTO CALLES DE SERVICIO O ACCESOS GRANULARES</v>
      </c>
      <c r="D62" s="145" t="s">
        <v>260</v>
      </c>
      <c r="E62" s="145" t="s">
        <v>259</v>
      </c>
      <c r="F62" s="145" t="str">
        <f t="shared" si="1"/>
        <v>402070001_MANTENIMIENTO CALLES DE SERVICIO O ACCESOS GRANULARES</v>
      </c>
    </row>
    <row r="63" spans="1:6" hidden="1" x14ac:dyDescent="0.2">
      <c r="A63" s="145" t="s">
        <v>261</v>
      </c>
      <c r="B63" s="145" t="s">
        <v>262</v>
      </c>
      <c r="C63" s="145" t="str">
        <f t="shared" si="0"/>
        <v>08_MANTENIMIENTO DE PAVIMENTO DE HORMIGÓN</v>
      </c>
      <c r="D63" s="145" t="s">
        <v>263</v>
      </c>
      <c r="E63" s="145" t="s">
        <v>264</v>
      </c>
      <c r="F63" s="145" t="str">
        <f t="shared" si="1"/>
        <v>402080001_CEPILLADO PAVIMENTOS</v>
      </c>
    </row>
    <row r="64" spans="1:6" hidden="1" x14ac:dyDescent="0.2">
      <c r="A64" s="145" t="s">
        <v>261</v>
      </c>
      <c r="B64" s="145" t="s">
        <v>262</v>
      </c>
      <c r="C64" s="145" t="str">
        <f t="shared" si="0"/>
        <v>08_MANTENIMIENTO DE PAVIMENTO DE HORMIGÓN</v>
      </c>
      <c r="D64" s="145" t="s">
        <v>265</v>
      </c>
      <c r="E64" s="145" t="s">
        <v>266</v>
      </c>
      <c r="F64" s="145" t="str">
        <f t="shared" si="1"/>
        <v>402080002_ESTABILIZACIÓN LOSAS</v>
      </c>
    </row>
    <row r="65" spans="1:6" hidden="1" x14ac:dyDescent="0.2">
      <c r="A65" s="145" t="s">
        <v>261</v>
      </c>
      <c r="B65" s="145" t="s">
        <v>262</v>
      </c>
      <c r="C65" s="145" t="str">
        <f t="shared" si="0"/>
        <v>08_MANTENIMIENTO DE PAVIMENTO DE HORMIGÓN</v>
      </c>
      <c r="D65" s="145" t="s">
        <v>267</v>
      </c>
      <c r="E65" s="145" t="s">
        <v>268</v>
      </c>
      <c r="F65" s="145" t="str">
        <f t="shared" si="1"/>
        <v>402080003_REEMPLAZO DE LOSAS DE HORMIGÓN RÍGIDO</v>
      </c>
    </row>
    <row r="66" spans="1:6" hidden="1" x14ac:dyDescent="0.2">
      <c r="A66" s="145" t="s">
        <v>261</v>
      </c>
      <c r="B66" s="145" t="s">
        <v>262</v>
      </c>
      <c r="C66" s="145" t="str">
        <f t="shared" si="0"/>
        <v>08_MANTENIMIENTO DE PAVIMENTO DE HORMIGÓN</v>
      </c>
      <c r="D66" s="145" t="s">
        <v>269</v>
      </c>
      <c r="E66" s="145" t="s">
        <v>270</v>
      </c>
      <c r="F66" s="145" t="str">
        <f t="shared" si="1"/>
        <v>402080004_REPARACIÓN DE ESPESOR PARCIAL O RODADURA</v>
      </c>
    </row>
    <row r="67" spans="1:6" hidden="1" x14ac:dyDescent="0.2">
      <c r="A67" s="145" t="s">
        <v>261</v>
      </c>
      <c r="B67" s="145" t="s">
        <v>271</v>
      </c>
      <c r="C67" s="145" t="str">
        <f t="shared" ref="C67:C130" si="2">A67&amp;"_"&amp;B67</f>
        <v>08_SOLUCIONES DE ERP Y SISTEMAS VINCULADOS</v>
      </c>
      <c r="D67" s="145" t="s">
        <v>272</v>
      </c>
      <c r="E67" s="145" t="s">
        <v>271</v>
      </c>
      <c r="F67" s="145" t="str">
        <f t="shared" ref="F67:F130" si="3">D67&amp;"_"&amp;E67</f>
        <v>112080001_SOLUCIONES DE ERP Y SISTEMAS VINCULADOS</v>
      </c>
    </row>
    <row r="68" spans="1:6" hidden="1" x14ac:dyDescent="0.2">
      <c r="A68" s="145" t="s">
        <v>273</v>
      </c>
      <c r="B68" s="145" t="s">
        <v>274</v>
      </c>
      <c r="C68" s="145" t="str">
        <f t="shared" si="2"/>
        <v>09_SOLUCIONES DE SERVIDORES, BACKUP Y ALMACENAMIENTO</v>
      </c>
      <c r="D68" s="145" t="s">
        <v>275</v>
      </c>
      <c r="E68" s="145" t="s">
        <v>274</v>
      </c>
      <c r="F68" s="145" t="str">
        <f t="shared" si="3"/>
        <v>112090001_SOLUCIONES DE SERVIDORES, BACKUP Y ALMACENAMIENTO</v>
      </c>
    </row>
    <row r="69" spans="1:6" hidden="1" x14ac:dyDescent="0.2">
      <c r="A69" s="145" t="s">
        <v>273</v>
      </c>
      <c r="B69" s="145" t="s">
        <v>276</v>
      </c>
      <c r="C69" s="145" t="str">
        <f t="shared" si="2"/>
        <v>09_MANTENIMIENTO E INSUMOS EQUIPOS TÚNEL Y EQUIPOS DE EMERGENCIA</v>
      </c>
      <c r="D69" s="145" t="s">
        <v>277</v>
      </c>
      <c r="E69" s="145" t="s">
        <v>278</v>
      </c>
      <c r="F69" s="145" t="str">
        <f t="shared" si="3"/>
        <v>402090001_ACTUALIZACIÓN SOFTWARE TÚNEL</v>
      </c>
    </row>
    <row r="70" spans="1:6" hidden="1" x14ac:dyDescent="0.2">
      <c r="A70" s="145" t="s">
        <v>273</v>
      </c>
      <c r="B70" s="145" t="s">
        <v>276</v>
      </c>
      <c r="C70" s="145" t="str">
        <f t="shared" si="2"/>
        <v>09_MANTENIMIENTO E INSUMOS EQUIPOS TÚNEL Y EQUIPOS DE EMERGENCIA</v>
      </c>
      <c r="D70" s="145" t="s">
        <v>279</v>
      </c>
      <c r="E70" s="145" t="s">
        <v>280</v>
      </c>
      <c r="F70" s="145" t="str">
        <f t="shared" si="3"/>
        <v>402090002_MANTENIMIENTO EQUIPOS DE EMERGENCIA</v>
      </c>
    </row>
    <row r="71" spans="1:6" hidden="1" x14ac:dyDescent="0.2">
      <c r="A71" s="145" t="s">
        <v>273</v>
      </c>
      <c r="B71" s="145" t="s">
        <v>276</v>
      </c>
      <c r="C71" s="145" t="str">
        <f t="shared" si="2"/>
        <v>09_MANTENIMIENTO E INSUMOS EQUIPOS TÚNEL Y EQUIPOS DE EMERGENCIA</v>
      </c>
      <c r="D71" s="145" t="s">
        <v>281</v>
      </c>
      <c r="E71" s="145" t="s">
        <v>282</v>
      </c>
      <c r="F71" s="145" t="str">
        <f t="shared" si="3"/>
        <v>402090003_MANTENIMIENTO SISTEMAS DE EQUIPOS CONTROL</v>
      </c>
    </row>
    <row r="72" spans="1:6" hidden="1" x14ac:dyDescent="0.2">
      <c r="A72" s="145" t="s">
        <v>273</v>
      </c>
      <c r="B72" s="145" t="s">
        <v>276</v>
      </c>
      <c r="C72" s="145" t="str">
        <f t="shared" si="2"/>
        <v>09_MANTENIMIENTO E INSUMOS EQUIPOS TÚNEL Y EQUIPOS DE EMERGENCIA</v>
      </c>
      <c r="D72" s="145" t="s">
        <v>283</v>
      </c>
      <c r="E72" s="145" t="s">
        <v>284</v>
      </c>
      <c r="F72" s="145" t="str">
        <f t="shared" si="3"/>
        <v>402090004_MANTENIMIENTO SISTEMAS DE EQUIPOS ELÉCTRICOS</v>
      </c>
    </row>
    <row r="73" spans="1:6" hidden="1" x14ac:dyDescent="0.2">
      <c r="A73" s="145" t="s">
        <v>273</v>
      </c>
      <c r="B73" s="145" t="s">
        <v>276</v>
      </c>
      <c r="C73" s="145" t="str">
        <f t="shared" si="2"/>
        <v>09_MANTENIMIENTO E INSUMOS EQUIPOS TÚNEL Y EQUIPOS DE EMERGENCIA</v>
      </c>
      <c r="D73" s="145" t="s">
        <v>285</v>
      </c>
      <c r="E73" s="145" t="s">
        <v>286</v>
      </c>
      <c r="F73" s="145" t="str">
        <f t="shared" si="3"/>
        <v>402090005_MANTENIMIENTO SISTEMAS DE VENTILADORES</v>
      </c>
    </row>
    <row r="74" spans="1:6" hidden="1" x14ac:dyDescent="0.2">
      <c r="A74" s="145" t="s">
        <v>273</v>
      </c>
      <c r="B74" s="145" t="s">
        <v>276</v>
      </c>
      <c r="C74" s="145" t="str">
        <f t="shared" si="2"/>
        <v>09_MANTENIMIENTO E INSUMOS EQUIPOS TÚNEL Y EQUIPOS DE EMERGENCIA</v>
      </c>
      <c r="D74" s="145" t="s">
        <v>287</v>
      </c>
      <c r="E74" s="145" t="s">
        <v>288</v>
      </c>
      <c r="F74" s="145" t="str">
        <f t="shared" si="3"/>
        <v>402090006_RECAMBIO EQUIPOS DE CONTROL E INFORMACIÓN TÚNEL</v>
      </c>
    </row>
    <row r="75" spans="1:6" hidden="1" x14ac:dyDescent="0.2">
      <c r="A75" s="145" t="s">
        <v>273</v>
      </c>
      <c r="B75" s="145" t="s">
        <v>276</v>
      </c>
      <c r="C75" s="145" t="str">
        <f t="shared" si="2"/>
        <v>09_MANTENIMIENTO E INSUMOS EQUIPOS TÚNEL Y EQUIPOS DE EMERGENCIA</v>
      </c>
      <c r="D75" s="145" t="s">
        <v>289</v>
      </c>
      <c r="E75" s="145" t="s">
        <v>290</v>
      </c>
      <c r="F75" s="145" t="str">
        <f t="shared" si="3"/>
        <v>402090007_RECAMBIO EQUIPOS ELÉCTRICOS TÚNEL</v>
      </c>
    </row>
    <row r="76" spans="1:6" hidden="1" x14ac:dyDescent="0.2">
      <c r="A76" s="145" t="s">
        <v>273</v>
      </c>
      <c r="B76" s="145" t="s">
        <v>276</v>
      </c>
      <c r="C76" s="145" t="str">
        <f t="shared" si="2"/>
        <v>09_MANTENIMIENTO E INSUMOS EQUIPOS TÚNEL Y EQUIPOS DE EMERGENCIA</v>
      </c>
      <c r="D76" s="145" t="s">
        <v>291</v>
      </c>
      <c r="E76" s="145" t="s">
        <v>292</v>
      </c>
      <c r="F76" s="145" t="str">
        <f t="shared" si="3"/>
        <v>402090008_RECAMBIO GENERADOR PLAZAS PEAJE O TÚNEL</v>
      </c>
    </row>
    <row r="77" spans="1:6" hidden="1" x14ac:dyDescent="0.2">
      <c r="A77" s="145" t="s">
        <v>273</v>
      </c>
      <c r="B77" s="145" t="s">
        <v>276</v>
      </c>
      <c r="C77" s="145" t="str">
        <f t="shared" si="2"/>
        <v>09_MANTENIMIENTO E INSUMOS EQUIPOS TÚNEL Y EQUIPOS DE EMERGENCIA</v>
      </c>
      <c r="D77" s="145" t="s">
        <v>293</v>
      </c>
      <c r="E77" s="145" t="s">
        <v>294</v>
      </c>
      <c r="F77" s="145" t="str">
        <f t="shared" si="3"/>
        <v>402090009_RECAMBIO SERVIDORES SISTEMAS TÚNEL</v>
      </c>
    </row>
    <row r="78" spans="1:6" hidden="1" x14ac:dyDescent="0.2">
      <c r="A78" s="145" t="s">
        <v>273</v>
      </c>
      <c r="B78" s="145" t="s">
        <v>276</v>
      </c>
      <c r="C78" s="145" t="str">
        <f t="shared" si="2"/>
        <v>09_MANTENIMIENTO E INSUMOS EQUIPOS TÚNEL Y EQUIPOS DE EMERGENCIA</v>
      </c>
      <c r="D78" s="145" t="s">
        <v>295</v>
      </c>
      <c r="E78" s="145" t="s">
        <v>296</v>
      </c>
      <c r="F78" s="145" t="str">
        <f t="shared" si="3"/>
        <v>402090010_RECAMBIO SISTEMAS ILUMINACIÓN TÚNEL</v>
      </c>
    </row>
    <row r="79" spans="1:6" hidden="1" x14ac:dyDescent="0.2">
      <c r="A79" s="145" t="s">
        <v>273</v>
      </c>
      <c r="B79" s="145" t="s">
        <v>276</v>
      </c>
      <c r="C79" s="145" t="str">
        <f t="shared" si="2"/>
        <v>09_MANTENIMIENTO E INSUMOS EQUIPOS TÚNEL Y EQUIPOS DE EMERGENCIA</v>
      </c>
      <c r="D79" s="145" t="s">
        <v>297</v>
      </c>
      <c r="E79" s="145" t="s">
        <v>298</v>
      </c>
      <c r="F79" s="145" t="str">
        <f t="shared" si="3"/>
        <v>402090011_RECAMBIO TABLEROS ELÉCTRICOS TÚNEL</v>
      </c>
    </row>
    <row r="80" spans="1:6" hidden="1" x14ac:dyDescent="0.2">
      <c r="A80" s="145" t="s">
        <v>273</v>
      </c>
      <c r="B80" s="145" t="s">
        <v>276</v>
      </c>
      <c r="C80" s="145" t="str">
        <f t="shared" si="2"/>
        <v>09_MANTENIMIENTO E INSUMOS EQUIPOS TÚNEL Y EQUIPOS DE EMERGENCIA</v>
      </c>
      <c r="D80" s="145" t="s">
        <v>299</v>
      </c>
      <c r="E80" s="145" t="s">
        <v>300</v>
      </c>
      <c r="F80" s="145" t="str">
        <f t="shared" si="3"/>
        <v>402090012_RECAMBIO VENTILADORES TÚNEL</v>
      </c>
    </row>
    <row r="81" spans="1:6" x14ac:dyDescent="0.2">
      <c r="A81" s="145" t="s">
        <v>301</v>
      </c>
      <c r="B81" s="145" t="s">
        <v>302</v>
      </c>
      <c r="C81" s="145" t="str">
        <f t="shared" si="2"/>
        <v>10_MANTENIMIENTO E INSUMOS SISTEMA DE PEAJES Y OTROS EQUIPOS</v>
      </c>
      <c r="D81" s="145">
        <v>402100002</v>
      </c>
      <c r="E81" s="145" t="s">
        <v>303</v>
      </c>
      <c r="F81" s="145" t="str">
        <f t="shared" si="3"/>
        <v>402100002_IMPRESIÓN BOLETOS DE PEAJES</v>
      </c>
    </row>
    <row r="82" spans="1:6" hidden="1" x14ac:dyDescent="0.2">
      <c r="A82" s="145" t="s">
        <v>301</v>
      </c>
      <c r="B82" s="145" t="s">
        <v>302</v>
      </c>
      <c r="C82" s="145" t="str">
        <f t="shared" si="2"/>
        <v>10_MANTENIMIENTO E INSUMOS SISTEMA DE PEAJES Y OTROS EQUIPOS</v>
      </c>
      <c r="D82" s="145" t="s">
        <v>304</v>
      </c>
      <c r="E82" s="145" t="s">
        <v>305</v>
      </c>
      <c r="F82" s="145" t="str">
        <f t="shared" si="3"/>
        <v>402100003_INSUMOS MANTENIMIENTO Y REPARACIÓN DE POSTES SOS</v>
      </c>
    </row>
    <row r="83" spans="1:6" hidden="1" x14ac:dyDescent="0.2">
      <c r="A83" s="145" t="s">
        <v>301</v>
      </c>
      <c r="B83" s="145" t="s">
        <v>302</v>
      </c>
      <c r="C83" s="145" t="str">
        <f t="shared" si="2"/>
        <v>10_MANTENIMIENTO E INSUMOS SISTEMA DE PEAJES Y OTROS EQUIPOS</v>
      </c>
      <c r="D83" s="145" t="s">
        <v>306</v>
      </c>
      <c r="E83" s="145" t="s">
        <v>307</v>
      </c>
      <c r="F83" s="145" t="str">
        <f t="shared" si="3"/>
        <v>402100004_MANTENIMIENTO DE PANELES DE MENSAJERÍA VARIABLE</v>
      </c>
    </row>
    <row r="84" spans="1:6" hidden="1" x14ac:dyDescent="0.2">
      <c r="A84" s="145" t="s">
        <v>301</v>
      </c>
      <c r="B84" s="145" t="s">
        <v>302</v>
      </c>
      <c r="C84" s="145" t="str">
        <f t="shared" si="2"/>
        <v>10_MANTENIMIENTO E INSUMOS SISTEMA DE PEAJES Y OTROS EQUIPOS</v>
      </c>
      <c r="D84" s="145" t="s">
        <v>308</v>
      </c>
      <c r="E84" s="145" t="s">
        <v>309</v>
      </c>
      <c r="F84" s="145" t="str">
        <f t="shared" si="3"/>
        <v>402100006_MANTENIMIENTO EQUIPOS Y TECNOLOGÍAS DE RUTA</v>
      </c>
    </row>
    <row r="85" spans="1:6" hidden="1" x14ac:dyDescent="0.2">
      <c r="A85" s="145" t="s">
        <v>301</v>
      </c>
      <c r="B85" s="145" t="s">
        <v>302</v>
      </c>
      <c r="C85" s="145" t="str">
        <f t="shared" si="2"/>
        <v>10_MANTENIMIENTO E INSUMOS SISTEMA DE PEAJES Y OTROS EQUIPOS</v>
      </c>
      <c r="D85" s="145" t="s">
        <v>310</v>
      </c>
      <c r="E85" s="145" t="s">
        <v>311</v>
      </c>
      <c r="F85" s="145" t="str">
        <f t="shared" si="3"/>
        <v>402100007_MANTENIMIENTO RUTINARIO DE POSTES SOS</v>
      </c>
    </row>
    <row r="86" spans="1:6" hidden="1" x14ac:dyDescent="0.2">
      <c r="A86" s="145" t="s">
        <v>301</v>
      </c>
      <c r="B86" s="145" t="s">
        <v>302</v>
      </c>
      <c r="C86" s="145" t="str">
        <f t="shared" si="2"/>
        <v>10_MANTENIMIENTO E INSUMOS SISTEMA DE PEAJES Y OTROS EQUIPOS</v>
      </c>
      <c r="D86" s="145" t="s">
        <v>312</v>
      </c>
      <c r="E86" s="145" t="s">
        <v>313</v>
      </c>
      <c r="F86" s="145" t="str">
        <f t="shared" si="3"/>
        <v>402100008_MANTENIMIENTO RUTINARIO DE SISTEMAS DE CCTV</v>
      </c>
    </row>
    <row r="87" spans="1:6" hidden="1" x14ac:dyDescent="0.2">
      <c r="A87" s="145" t="s">
        <v>301</v>
      </c>
      <c r="B87" s="145" t="s">
        <v>302</v>
      </c>
      <c r="C87" s="145" t="str">
        <f t="shared" si="2"/>
        <v>10_MANTENIMIENTO E INSUMOS SISTEMA DE PEAJES Y OTROS EQUIPOS</v>
      </c>
      <c r="D87" s="145" t="s">
        <v>314</v>
      </c>
      <c r="E87" s="145" t="s">
        <v>315</v>
      </c>
      <c r="F87" s="145" t="str">
        <f t="shared" si="3"/>
        <v>402100009_MANTENIMIENTO RUTINARIO DE SISTEMAS DE PEAJES</v>
      </c>
    </row>
    <row r="88" spans="1:6" hidden="1" x14ac:dyDescent="0.2">
      <c r="A88" s="145" t="s">
        <v>301</v>
      </c>
      <c r="B88" s="145" t="s">
        <v>302</v>
      </c>
      <c r="C88" s="145" t="str">
        <f t="shared" si="2"/>
        <v>10_MANTENIMIENTO E INSUMOS SISTEMA DE PEAJES Y OTROS EQUIPOS</v>
      </c>
      <c r="D88" s="145" t="s">
        <v>316</v>
      </c>
      <c r="E88" s="145" t="s">
        <v>317</v>
      </c>
      <c r="F88" s="145" t="str">
        <f t="shared" si="3"/>
        <v>402100011_RECAMBIO MAYOR PANELES DE MENSAJERÍA VARIABLE</v>
      </c>
    </row>
    <row r="89" spans="1:6" hidden="1" x14ac:dyDescent="0.2">
      <c r="A89" s="145" t="s">
        <v>301</v>
      </c>
      <c r="B89" s="145" t="s">
        <v>302</v>
      </c>
      <c r="C89" s="145" t="str">
        <f t="shared" si="2"/>
        <v>10_MANTENIMIENTO E INSUMOS SISTEMA DE PEAJES Y OTROS EQUIPOS</v>
      </c>
      <c r="D89" s="145" t="s">
        <v>318</v>
      </c>
      <c r="E89" s="145" t="s">
        <v>319</v>
      </c>
      <c r="F89" s="145" t="str">
        <f t="shared" si="3"/>
        <v>402100014_RECAMBIO MAYOR VÍAS SISTEMAS DE PEAJE</v>
      </c>
    </row>
    <row r="90" spans="1:6" hidden="1" x14ac:dyDescent="0.2">
      <c r="A90" s="145" t="s">
        <v>301</v>
      </c>
      <c r="B90" s="145" t="s">
        <v>302</v>
      </c>
      <c r="C90" s="145" t="str">
        <f t="shared" si="2"/>
        <v>10_MANTENIMIENTO E INSUMOS SISTEMA DE PEAJES Y OTROS EQUIPOS</v>
      </c>
      <c r="D90" s="145" t="s">
        <v>320</v>
      </c>
      <c r="E90" s="145" t="s">
        <v>321</v>
      </c>
      <c r="F90" s="145" t="str">
        <f t="shared" si="3"/>
        <v>402100015_RECAMBIO SERVIDORES SISTEMAS DE PEAJE</v>
      </c>
    </row>
    <row r="91" spans="1:6" hidden="1" x14ac:dyDescent="0.2">
      <c r="A91" s="145" t="s">
        <v>301</v>
      </c>
      <c r="B91" s="145" t="s">
        <v>302</v>
      </c>
      <c r="C91" s="145" t="str">
        <f t="shared" si="2"/>
        <v>10_MANTENIMIENTO E INSUMOS SISTEMA DE PEAJES Y OTROS EQUIPOS</v>
      </c>
      <c r="D91" s="145" t="s">
        <v>322</v>
      </c>
      <c r="E91" s="145" t="s">
        <v>323</v>
      </c>
      <c r="F91" s="145" t="str">
        <f t="shared" si="3"/>
        <v>402100016_RENOVACIÓN TECNOLÓGICA DE SISTEMAS DE PEAJES</v>
      </c>
    </row>
    <row r="92" spans="1:6" hidden="1" x14ac:dyDescent="0.2">
      <c r="A92" s="145" t="s">
        <v>301</v>
      </c>
      <c r="B92" s="145" t="s">
        <v>302</v>
      </c>
      <c r="C92" s="145" t="str">
        <f t="shared" si="2"/>
        <v>10_MANTENIMIENTO E INSUMOS SISTEMA DE PEAJES Y OTROS EQUIPOS</v>
      </c>
      <c r="D92" s="145" t="s">
        <v>324</v>
      </c>
      <c r="E92" s="145" t="s">
        <v>325</v>
      </c>
      <c r="F92" s="145" t="str">
        <f t="shared" si="3"/>
        <v>402100017_REPUESTOS E INSUMOS PARA EQUIPOS DE PEAJES Y TECNOLOGÍAS DE RUTA</v>
      </c>
    </row>
    <row r="93" spans="1:6" hidden="1" x14ac:dyDescent="0.2">
      <c r="A93" s="145" t="s">
        <v>301</v>
      </c>
      <c r="B93" s="145" t="s">
        <v>302</v>
      </c>
      <c r="C93" s="145" t="str">
        <f t="shared" si="2"/>
        <v>10_MANTENIMIENTO E INSUMOS SISTEMA DE PEAJES Y OTROS EQUIPOS</v>
      </c>
      <c r="D93" s="145" t="s">
        <v>326</v>
      </c>
      <c r="E93" s="145" t="s">
        <v>327</v>
      </c>
      <c r="F93" s="145" t="str">
        <f t="shared" si="3"/>
        <v>402100018_SOFTWARE SISTEMAS DE COBRO</v>
      </c>
    </row>
    <row r="94" spans="1:6" hidden="1" x14ac:dyDescent="0.2">
      <c r="A94" s="145" t="s">
        <v>301</v>
      </c>
      <c r="B94" s="145" t="s">
        <v>302</v>
      </c>
      <c r="C94" s="145" t="str">
        <f t="shared" si="2"/>
        <v>10_MANTENIMIENTO E INSUMOS SISTEMA DE PEAJES Y OTROS EQUIPOS</v>
      </c>
      <c r="D94" s="145" t="s">
        <v>328</v>
      </c>
      <c r="E94" s="145" t="s">
        <v>329</v>
      </c>
      <c r="F94" s="145" t="str">
        <f t="shared" si="3"/>
        <v>402100019_TAG</v>
      </c>
    </row>
    <row r="95" spans="1:6" hidden="1" x14ac:dyDescent="0.2">
      <c r="A95" s="145" t="s">
        <v>301</v>
      </c>
      <c r="B95" s="145" t="s">
        <v>302</v>
      </c>
      <c r="C95" s="145" t="str">
        <f t="shared" si="2"/>
        <v>10_MANTENIMIENTO E INSUMOS SISTEMA DE PEAJES Y OTROS EQUIPOS</v>
      </c>
      <c r="D95" s="145" t="s">
        <v>330</v>
      </c>
      <c r="E95" s="145" t="s">
        <v>331</v>
      </c>
      <c r="F95" s="145" t="str">
        <f t="shared" si="3"/>
        <v>402100020_TARJETA SIN CONTACTO</v>
      </c>
    </row>
    <row r="96" spans="1:6" hidden="1" x14ac:dyDescent="0.2">
      <c r="A96" s="145" t="s">
        <v>301</v>
      </c>
      <c r="B96" s="145" t="s">
        <v>332</v>
      </c>
      <c r="C96" s="145" t="str">
        <f t="shared" si="2"/>
        <v>10_SOLUCIONES DE TELEFONÍA MÓVIL</v>
      </c>
      <c r="D96" s="145" t="s">
        <v>333</v>
      </c>
      <c r="E96" s="145" t="s">
        <v>332</v>
      </c>
      <c r="F96" s="145" t="str">
        <f t="shared" si="3"/>
        <v>112100001_SOLUCIONES DE TELEFONÍA MÓVIL</v>
      </c>
    </row>
    <row r="97" spans="1:6" hidden="1" x14ac:dyDescent="0.2">
      <c r="A97" s="145" t="s">
        <v>334</v>
      </c>
      <c r="B97" s="145" t="s">
        <v>335</v>
      </c>
      <c r="C97" s="145" t="str">
        <f t="shared" si="2"/>
        <v>11_SOLUCIONES SOFTWARE COMERCIALES (NO VINCULADAS A ERP NI A PLATAFORMA BASE Y DE PRODUCTIVIDAD)</v>
      </c>
      <c r="D97" s="145" t="s">
        <v>336</v>
      </c>
      <c r="E97" s="145" t="s">
        <v>337</v>
      </c>
      <c r="F97" s="145" t="str">
        <f t="shared" si="3"/>
        <v>112110002_SOLUCIONES DE SOFTWARE GENÉRICO</v>
      </c>
    </row>
    <row r="98" spans="1:6" hidden="1" x14ac:dyDescent="0.2">
      <c r="A98" s="145" t="s">
        <v>334</v>
      </c>
      <c r="B98" s="145" t="s">
        <v>338</v>
      </c>
      <c r="C98" s="145" t="str">
        <f t="shared" si="2"/>
        <v>11_MANTENIMIENTO MAYOR EN ESTRUCTURAS Y CAUCES</v>
      </c>
      <c r="D98" s="145" t="s">
        <v>339</v>
      </c>
      <c r="E98" s="145" t="s">
        <v>340</v>
      </c>
      <c r="F98" s="145" t="str">
        <f t="shared" si="3"/>
        <v>402110001_DRENAJE PUENTES</v>
      </c>
    </row>
    <row r="99" spans="1:6" hidden="1" x14ac:dyDescent="0.2">
      <c r="A99" s="145" t="s">
        <v>334</v>
      </c>
      <c r="B99" s="145" t="s">
        <v>338</v>
      </c>
      <c r="C99" s="145" t="str">
        <f t="shared" si="2"/>
        <v>11_MANTENIMIENTO MAYOR EN ESTRUCTURAS Y CAUCES</v>
      </c>
      <c r="D99" s="145" t="s">
        <v>341</v>
      </c>
      <c r="E99" s="145" t="s">
        <v>342</v>
      </c>
      <c r="F99" s="145" t="str">
        <f t="shared" si="3"/>
        <v>402110002_JUNTAS EXPANSIÓN</v>
      </c>
    </row>
    <row r="100" spans="1:6" hidden="1" x14ac:dyDescent="0.2">
      <c r="A100" s="145" t="s">
        <v>334</v>
      </c>
      <c r="B100" s="145" t="s">
        <v>338</v>
      </c>
      <c r="C100" s="145" t="str">
        <f t="shared" si="2"/>
        <v>11_MANTENIMIENTO MAYOR EN ESTRUCTURAS Y CAUCES</v>
      </c>
      <c r="D100" s="145" t="s">
        <v>343</v>
      </c>
      <c r="E100" s="145" t="s">
        <v>344</v>
      </c>
      <c r="F100" s="145" t="str">
        <f t="shared" si="3"/>
        <v>402110003_MANTENIMIENTO BARANDAS</v>
      </c>
    </row>
    <row r="101" spans="1:6" hidden="1" x14ac:dyDescent="0.2">
      <c r="A101" s="145" t="s">
        <v>334</v>
      </c>
      <c r="B101" s="145" t="s">
        <v>338</v>
      </c>
      <c r="C101" s="145" t="str">
        <f t="shared" si="2"/>
        <v>11_MANTENIMIENTO MAYOR EN ESTRUCTURAS Y CAUCES</v>
      </c>
      <c r="D101" s="145" t="s">
        <v>345</v>
      </c>
      <c r="E101" s="145" t="s">
        <v>346</v>
      </c>
      <c r="F101" s="145" t="str">
        <f t="shared" si="3"/>
        <v>402110004_MANTENIMIENTO CAUCES</v>
      </c>
    </row>
    <row r="102" spans="1:6" hidden="1" x14ac:dyDescent="0.2">
      <c r="A102" s="145" t="s">
        <v>334</v>
      </c>
      <c r="B102" s="145" t="s">
        <v>338</v>
      </c>
      <c r="C102" s="145" t="str">
        <f t="shared" si="2"/>
        <v>11_MANTENIMIENTO MAYOR EN ESTRUCTURAS Y CAUCES</v>
      </c>
      <c r="D102" s="145" t="s">
        <v>347</v>
      </c>
      <c r="E102" s="145" t="s">
        <v>348</v>
      </c>
      <c r="F102" s="145" t="str">
        <f t="shared" si="3"/>
        <v>402110005_MANTENIMIENTO PAVIMENTOS PUENTES Y ESTRUCTURAS</v>
      </c>
    </row>
    <row r="103" spans="1:6" hidden="1" x14ac:dyDescent="0.2">
      <c r="A103" s="145" t="s">
        <v>349</v>
      </c>
      <c r="B103" s="145" t="s">
        <v>350</v>
      </c>
      <c r="C103" s="145" t="str">
        <f t="shared" si="2"/>
        <v>12_MANTENIMIENTO PAVIMENTOS Y BERMAS DE ASFALTO</v>
      </c>
      <c r="D103" s="145" t="s">
        <v>351</v>
      </c>
      <c r="E103" s="145" t="s">
        <v>352</v>
      </c>
      <c r="F103" s="145" t="str">
        <f t="shared" si="3"/>
        <v>402120001_BACHEO MANTENIMIENTO MAYOR</v>
      </c>
    </row>
    <row r="104" spans="1:6" hidden="1" x14ac:dyDescent="0.2">
      <c r="A104" s="145" t="s">
        <v>349</v>
      </c>
      <c r="B104" s="145" t="s">
        <v>350</v>
      </c>
      <c r="C104" s="145" t="str">
        <f t="shared" si="2"/>
        <v>12_MANTENIMIENTO PAVIMENTOS Y BERMAS DE ASFALTO</v>
      </c>
      <c r="D104" s="145" t="s">
        <v>353</v>
      </c>
      <c r="E104" s="145" t="s">
        <v>354</v>
      </c>
      <c r="F104" s="145" t="str">
        <f t="shared" si="3"/>
        <v>402120002_FRESADO Y MICROFRESADO CARPETA ASFÁLTICA</v>
      </c>
    </row>
    <row r="105" spans="1:6" hidden="1" x14ac:dyDescent="0.2">
      <c r="A105" s="145" t="s">
        <v>349</v>
      </c>
      <c r="B105" s="145" t="s">
        <v>350</v>
      </c>
      <c r="C105" s="145" t="str">
        <f t="shared" si="2"/>
        <v>12_MANTENIMIENTO PAVIMENTOS Y BERMAS DE ASFALTO</v>
      </c>
      <c r="D105" s="145" t="s">
        <v>355</v>
      </c>
      <c r="E105" s="145" t="s">
        <v>356</v>
      </c>
      <c r="F105" s="145" t="str">
        <f t="shared" si="3"/>
        <v>402120003_MANTENIMIENTO CARPETA RODADURA</v>
      </c>
    </row>
    <row r="106" spans="1:6" hidden="1" x14ac:dyDescent="0.2">
      <c r="A106" s="145" t="s">
        <v>349</v>
      </c>
      <c r="B106" s="145" t="s">
        <v>350</v>
      </c>
      <c r="C106" s="145" t="str">
        <f t="shared" si="2"/>
        <v>12_MANTENIMIENTO PAVIMENTOS Y BERMAS DE ASFALTO</v>
      </c>
      <c r="D106" s="145" t="s">
        <v>357</v>
      </c>
      <c r="E106" s="145" t="s">
        <v>358</v>
      </c>
      <c r="F106" s="145" t="str">
        <f t="shared" si="3"/>
        <v>402120004_MANTENIMIENTO MAYOR BERMAS</v>
      </c>
    </row>
    <row r="107" spans="1:6" hidden="1" x14ac:dyDescent="0.2">
      <c r="A107" s="145" t="s">
        <v>349</v>
      </c>
      <c r="B107" s="145" t="s">
        <v>350</v>
      </c>
      <c r="C107" s="145" t="str">
        <f t="shared" si="2"/>
        <v>12_MANTENIMIENTO PAVIMENTOS Y BERMAS DE ASFALTO</v>
      </c>
      <c r="D107" s="145" t="s">
        <v>359</v>
      </c>
      <c r="E107" s="145" t="s">
        <v>360</v>
      </c>
      <c r="F107" s="145" t="str">
        <f t="shared" si="3"/>
        <v>402120005_MANTENIMIENTO MAYOR CALLES DE SERVICIO O ACCESOS</v>
      </c>
    </row>
    <row r="108" spans="1:6" hidden="1" x14ac:dyDescent="0.2">
      <c r="A108" s="145" t="s">
        <v>349</v>
      </c>
      <c r="B108" s="145" t="s">
        <v>350</v>
      </c>
      <c r="C108" s="145" t="str">
        <f t="shared" si="2"/>
        <v>12_MANTENIMIENTO PAVIMENTOS Y BERMAS DE ASFALTO</v>
      </c>
      <c r="D108" s="145" t="s">
        <v>361</v>
      </c>
      <c r="E108" s="145" t="s">
        <v>362</v>
      </c>
      <c r="F108" s="145" t="str">
        <f t="shared" si="3"/>
        <v>402120006_MICROAGLOMERADOS</v>
      </c>
    </row>
    <row r="109" spans="1:6" hidden="1" x14ac:dyDescent="0.2">
      <c r="A109" s="145" t="s">
        <v>349</v>
      </c>
      <c r="B109" s="145" t="s">
        <v>350</v>
      </c>
      <c r="C109" s="145" t="str">
        <f t="shared" si="2"/>
        <v>12_MANTENIMIENTO PAVIMENTOS Y BERMAS DE ASFALTO</v>
      </c>
      <c r="D109" s="145" t="s">
        <v>363</v>
      </c>
      <c r="E109" s="145" t="s">
        <v>364</v>
      </c>
      <c r="F109" s="145" t="str">
        <f t="shared" si="3"/>
        <v>402120007_SUMINISTRO Y COLOCACIÓN MEZCLA ASFÁLTICA CALIENTE</v>
      </c>
    </row>
    <row r="110" spans="1:6" hidden="1" x14ac:dyDescent="0.2">
      <c r="A110" s="145" t="s">
        <v>349</v>
      </c>
      <c r="B110" s="145" t="s">
        <v>365</v>
      </c>
      <c r="C110" s="145" t="str">
        <f t="shared" si="2"/>
        <v>12_SOLUCIONES TECNOLÓGICAS ESTÁNDAR DE PLATAFORMA BASE Y DE PRODUCTIVIDAD</v>
      </c>
      <c r="D110" s="145" t="s">
        <v>366</v>
      </c>
      <c r="E110" s="145" t="s">
        <v>365</v>
      </c>
      <c r="F110" s="145" t="str">
        <f t="shared" si="3"/>
        <v>112120001_SOLUCIONES TECNOLÓGICAS ESTÁNDAR DE PLATAFORMA BASE Y DE PRODUCTIVIDAD</v>
      </c>
    </row>
    <row r="111" spans="1:6" hidden="1" x14ac:dyDescent="0.2">
      <c r="A111" s="145" t="s">
        <v>367</v>
      </c>
      <c r="B111" s="145" t="s">
        <v>368</v>
      </c>
      <c r="C111" s="145" t="str">
        <f t="shared" si="2"/>
        <v>13_SOPORTE Y MANTENIMIENTO DE INFRAESTRUCTURA TECNOLÓGICA</v>
      </c>
      <c r="D111" s="145" t="s">
        <v>369</v>
      </c>
      <c r="E111" s="145" t="s">
        <v>368</v>
      </c>
      <c r="F111" s="145" t="str">
        <f t="shared" si="3"/>
        <v>112130001_SOPORTE Y MANTENIMIENTO DE INFRAESTRUCTURA TECNOLÓGICA</v>
      </c>
    </row>
    <row r="112" spans="1:6" hidden="1" x14ac:dyDescent="0.2">
      <c r="A112" s="145" t="s">
        <v>367</v>
      </c>
      <c r="B112" s="145" t="s">
        <v>370</v>
      </c>
      <c r="C112" s="145" t="str">
        <f t="shared" si="2"/>
        <v>13_MANTENIMIENTO Y REPOSICIÓN DE SEÑALIZACIÓN HORIZONTAL Y VERTICAL</v>
      </c>
      <c r="D112" s="145" t="s">
        <v>371</v>
      </c>
      <c r="E112" s="145" t="s">
        <v>372</v>
      </c>
      <c r="F112" s="145" t="str">
        <f t="shared" si="3"/>
        <v>402130001_DEMARCACIÓN PAVIMENTO</v>
      </c>
    </row>
    <row r="113" spans="1:6" hidden="1" x14ac:dyDescent="0.2">
      <c r="A113" s="145" t="s">
        <v>367</v>
      </c>
      <c r="B113" s="145" t="s">
        <v>370</v>
      </c>
      <c r="C113" s="145" t="str">
        <f t="shared" si="2"/>
        <v>13_MANTENIMIENTO Y REPOSICIÓN DE SEÑALIZACIÓN HORIZONTAL Y VERTICAL</v>
      </c>
      <c r="D113" s="145" t="s">
        <v>373</v>
      </c>
      <c r="E113" s="145" t="s">
        <v>374</v>
      </c>
      <c r="F113" s="145" t="str">
        <f t="shared" si="3"/>
        <v>402130002_REMOCIÓN E INSTALACIÓN DE SEÑALES</v>
      </c>
    </row>
    <row r="114" spans="1:6" hidden="1" x14ac:dyDescent="0.2">
      <c r="A114" s="145" t="s">
        <v>367</v>
      </c>
      <c r="B114" s="145" t="s">
        <v>370</v>
      </c>
      <c r="C114" s="145" t="str">
        <f t="shared" si="2"/>
        <v>13_MANTENIMIENTO Y REPOSICIÓN DE SEÑALIZACIÓN HORIZONTAL Y VERTICAL</v>
      </c>
      <c r="D114" s="145" t="s">
        <v>375</v>
      </c>
      <c r="E114" s="145" t="s">
        <v>376</v>
      </c>
      <c r="F114" s="145" t="str">
        <f t="shared" si="3"/>
        <v>402130003_TACHAS Y TACHONES REFLECTANTES</v>
      </c>
    </row>
    <row r="115" spans="1:6" hidden="1" x14ac:dyDescent="0.2">
      <c r="A115" s="145" t="s">
        <v>377</v>
      </c>
      <c r="B115" s="145" t="s">
        <v>378</v>
      </c>
      <c r="C115" s="145" t="str">
        <f t="shared" si="2"/>
        <v>14_PAISAJISMO, MANTENIMIENTO FAJA Y MANTENIMIENTO DE ELEMENTOS DE DRENAJE SUPERFICIAL</v>
      </c>
      <c r="D115" s="145" t="s">
        <v>379</v>
      </c>
      <c r="E115" s="145" t="s">
        <v>380</v>
      </c>
      <c r="F115" s="145" t="str">
        <f t="shared" si="3"/>
        <v>402140001_ELEMENTOS DE DRENAJE</v>
      </c>
    </row>
    <row r="116" spans="1:6" hidden="1" x14ac:dyDescent="0.2">
      <c r="A116" s="145" t="s">
        <v>377</v>
      </c>
      <c r="B116" s="145" t="s">
        <v>378</v>
      </c>
      <c r="C116" s="145" t="str">
        <f t="shared" si="2"/>
        <v>14_PAISAJISMO, MANTENIMIENTO FAJA Y MANTENIMIENTO DE ELEMENTOS DE DRENAJE SUPERFICIAL</v>
      </c>
      <c r="D116" s="145" t="s">
        <v>381</v>
      </c>
      <c r="E116" s="145" t="s">
        <v>382</v>
      </c>
      <c r="F116" s="145" t="str">
        <f t="shared" si="3"/>
        <v>402140002_LIMPIEZA Y ROCE</v>
      </c>
    </row>
    <row r="117" spans="1:6" hidden="1" x14ac:dyDescent="0.2">
      <c r="A117" s="145" t="s">
        <v>377</v>
      </c>
      <c r="B117" s="145" t="s">
        <v>378</v>
      </c>
      <c r="C117" s="145" t="str">
        <f t="shared" si="2"/>
        <v>14_PAISAJISMO, MANTENIMIENTO FAJA Y MANTENIMIENTO DE ELEMENTOS DE DRENAJE SUPERFICIAL</v>
      </c>
      <c r="D117" s="145" t="s">
        <v>383</v>
      </c>
      <c r="E117" s="145" t="s">
        <v>384</v>
      </c>
      <c r="F117" s="145" t="str">
        <f t="shared" si="3"/>
        <v>402140003_PAISAJISMO</v>
      </c>
    </row>
    <row r="118" spans="1:6" hidden="1" x14ac:dyDescent="0.2">
      <c r="A118" s="145" t="s">
        <v>377</v>
      </c>
      <c r="B118" s="145" t="s">
        <v>378</v>
      </c>
      <c r="C118" s="145" t="str">
        <f t="shared" si="2"/>
        <v>14_PAISAJISMO, MANTENIMIENTO FAJA Y MANTENIMIENTO DE ELEMENTOS DE DRENAJE SUPERFICIAL</v>
      </c>
      <c r="D118" s="145" t="s">
        <v>385</v>
      </c>
      <c r="E118" s="145" t="s">
        <v>386</v>
      </c>
      <c r="F118" s="145" t="str">
        <f t="shared" si="3"/>
        <v>402140004_RETIRO BASURA Y ESCOMBROS</v>
      </c>
    </row>
    <row r="119" spans="1:6" hidden="1" x14ac:dyDescent="0.2">
      <c r="A119" s="145" t="s">
        <v>377</v>
      </c>
      <c r="B119" s="145" t="s">
        <v>378</v>
      </c>
      <c r="C119" s="145" t="str">
        <f t="shared" si="2"/>
        <v>14_PAISAJISMO, MANTENIMIENTO FAJA Y MANTENIMIENTO DE ELEMENTOS DE DRENAJE SUPERFICIAL</v>
      </c>
      <c r="D119" s="145" t="s">
        <v>387</v>
      </c>
      <c r="E119" s="145" t="s">
        <v>388</v>
      </c>
      <c r="F119" s="145" t="str">
        <f t="shared" si="3"/>
        <v>402140005_SANEAMIENTO</v>
      </c>
    </row>
    <row r="120" spans="1:6" hidden="1" x14ac:dyDescent="0.2">
      <c r="A120" s="145" t="s">
        <v>377</v>
      </c>
      <c r="B120" s="145" t="s">
        <v>389</v>
      </c>
      <c r="C120" s="145" t="str">
        <f t="shared" si="2"/>
        <v>14_SOPORTE Y MANTENIMIENTO DE SOLUCIONES TECNOLÓGICAS NO VINCULADAS AL ERP</v>
      </c>
      <c r="D120" s="145" t="s">
        <v>390</v>
      </c>
      <c r="E120" s="145" t="s">
        <v>389</v>
      </c>
      <c r="F120" s="145" t="str">
        <f t="shared" si="3"/>
        <v>112140001_SOPORTE Y MANTENIMIENTO DE SOLUCIONES TECNOLÓGICAS NO VINCULADAS AL ERP</v>
      </c>
    </row>
    <row r="121" spans="1:6" hidden="1" x14ac:dyDescent="0.2">
      <c r="A121" s="145" t="s">
        <v>391</v>
      </c>
      <c r="B121" s="145" t="s">
        <v>392</v>
      </c>
      <c r="C121" s="145" t="str">
        <f t="shared" si="2"/>
        <v>15_SOPORTE Y MANTENIMIENTO ERP Y SOLUCIONES TECNOLÓGICAS VINCULADAS DEL MISMO FABRICANTE</v>
      </c>
      <c r="D121" s="145" t="s">
        <v>393</v>
      </c>
      <c r="E121" s="145" t="s">
        <v>392</v>
      </c>
      <c r="F121" s="145" t="str">
        <f t="shared" si="3"/>
        <v>112150001_SOPORTE Y MANTENIMIENTO ERP Y SOLUCIONES TECNOLÓGICAS VINCULADAS DEL MISMO FABRICANTE</v>
      </c>
    </row>
    <row r="122" spans="1:6" hidden="1" x14ac:dyDescent="0.2">
      <c r="A122" s="145" t="s">
        <v>391</v>
      </c>
      <c r="B122" s="145" t="s">
        <v>394</v>
      </c>
      <c r="C122" s="145" t="str">
        <f t="shared" si="2"/>
        <v>15_SELLOS DE JUNTAS Y GRIETAS DE PAVIMENTOS</v>
      </c>
      <c r="D122" s="145" t="s">
        <v>395</v>
      </c>
      <c r="E122" s="145" t="s">
        <v>396</v>
      </c>
      <c r="F122" s="145" t="str">
        <f t="shared" si="3"/>
        <v>402150001_SELLO DE JUNTAS Y GRIETAS</v>
      </c>
    </row>
    <row r="123" spans="1:6" hidden="1" x14ac:dyDescent="0.2">
      <c r="A123" s="145" t="s">
        <v>397</v>
      </c>
      <c r="B123" s="145" t="s">
        <v>398</v>
      </c>
      <c r="C123" s="145" t="str">
        <f t="shared" si="2"/>
        <v>16_SERVICIO DE PEAJISTAS Y TRANSPORTE DE DINERO</v>
      </c>
      <c r="D123" s="145" t="s">
        <v>399</v>
      </c>
      <c r="E123" s="145" t="s">
        <v>400</v>
      </c>
      <c r="F123" s="145" t="str">
        <f t="shared" si="3"/>
        <v>402160001_SERVICIO TRANSPORTE DE DINERO</v>
      </c>
    </row>
    <row r="124" spans="1:6" hidden="1" x14ac:dyDescent="0.2">
      <c r="A124" s="145" t="s">
        <v>397</v>
      </c>
      <c r="B124" s="145" t="s">
        <v>398</v>
      </c>
      <c r="C124" s="145" t="str">
        <f t="shared" si="2"/>
        <v>16_SERVICIO DE PEAJISTAS Y TRANSPORTE DE DINERO</v>
      </c>
      <c r="D124" s="145" t="s">
        <v>401</v>
      </c>
      <c r="E124" s="145" t="s">
        <v>402</v>
      </c>
      <c r="F124" s="145" t="str">
        <f t="shared" si="3"/>
        <v>402160002_SERVICIOS DE PEAJISTAS</v>
      </c>
    </row>
    <row r="125" spans="1:6" hidden="1" x14ac:dyDescent="0.2">
      <c r="A125" s="145" t="s">
        <v>403</v>
      </c>
      <c r="B125" s="145" t="s">
        <v>404</v>
      </c>
      <c r="C125" s="145" t="str">
        <f t="shared" si="2"/>
        <v>17_SERVICIO DE PESAJE Y CONTEO DE TRÁFICO</v>
      </c>
      <c r="D125" s="145" t="s">
        <v>405</v>
      </c>
      <c r="E125" s="145" t="s">
        <v>406</v>
      </c>
      <c r="F125" s="145" t="str">
        <f t="shared" si="3"/>
        <v>402170002_SERVICIO CONTEO DE TRÁFICO</v>
      </c>
    </row>
    <row r="126" spans="1:6" hidden="1" x14ac:dyDescent="0.2">
      <c r="A126" s="145" t="s">
        <v>403</v>
      </c>
      <c r="B126" s="145" t="s">
        <v>404</v>
      </c>
      <c r="C126" s="145" t="str">
        <f t="shared" si="2"/>
        <v>17_SERVICIO DE PESAJE Y CONTEO DE TRÁFICO</v>
      </c>
      <c r="D126" s="145" t="s">
        <v>407</v>
      </c>
      <c r="E126" s="145" t="s">
        <v>408</v>
      </c>
      <c r="F126" s="145" t="str">
        <f t="shared" si="3"/>
        <v>402170003_SERVICIO DE PESAJE</v>
      </c>
    </row>
    <row r="127" spans="1:6" hidden="1" x14ac:dyDescent="0.2">
      <c r="A127" s="145" t="s">
        <v>409</v>
      </c>
      <c r="B127" s="145" t="s">
        <v>410</v>
      </c>
      <c r="C127" s="145" t="str">
        <f t="shared" si="2"/>
        <v>18_SERVICIOS DE ATENCIÓN A USUARIOS</v>
      </c>
      <c r="D127" s="145" t="s">
        <v>411</v>
      </c>
      <c r="E127" s="145" t="s">
        <v>412</v>
      </c>
      <c r="F127" s="145" t="str">
        <f t="shared" si="3"/>
        <v>402180001_SERVICIO CHOFER PARAMÉDICOS</v>
      </c>
    </row>
    <row r="128" spans="1:6" hidden="1" x14ac:dyDescent="0.2">
      <c r="A128" s="145" t="s">
        <v>409</v>
      </c>
      <c r="B128" s="145" t="s">
        <v>410</v>
      </c>
      <c r="C128" s="145" t="str">
        <f t="shared" si="2"/>
        <v>18_SERVICIOS DE ATENCIÓN A USUARIOS</v>
      </c>
      <c r="D128" s="145" t="s">
        <v>413</v>
      </c>
      <c r="E128" s="145" t="s">
        <v>414</v>
      </c>
      <c r="F128" s="145" t="str">
        <f t="shared" si="3"/>
        <v>402180002_SERVICIO AMBULANCIA</v>
      </c>
    </row>
    <row r="129" spans="1:6" hidden="1" x14ac:dyDescent="0.2">
      <c r="A129" s="145" t="s">
        <v>409</v>
      </c>
      <c r="B129" s="145" t="s">
        <v>410</v>
      </c>
      <c r="C129" s="145" t="str">
        <f t="shared" si="2"/>
        <v>18_SERVICIOS DE ATENCIÓN A USUARIOS</v>
      </c>
      <c r="D129" s="145" t="s">
        <v>415</v>
      </c>
      <c r="E129" s="145" t="s">
        <v>416</v>
      </c>
      <c r="F129" s="145" t="str">
        <f t="shared" si="3"/>
        <v>402180004_SERVICIO GRÚAS</v>
      </c>
    </row>
    <row r="130" spans="1:6" hidden="1" x14ac:dyDescent="0.2">
      <c r="A130" s="145" t="s">
        <v>409</v>
      </c>
      <c r="B130" s="145" t="s">
        <v>410</v>
      </c>
      <c r="C130" s="145" t="str">
        <f t="shared" si="2"/>
        <v>18_SERVICIOS DE ATENCIÓN A USUARIOS</v>
      </c>
      <c r="D130" s="145" t="s">
        <v>417</v>
      </c>
      <c r="E130" s="145" t="s">
        <v>418</v>
      </c>
      <c r="F130" s="145" t="str">
        <f t="shared" si="3"/>
        <v>402180005_SERVICIO PATRULLAS, VIGILANCIA E INSPECCIÓN DE TRÁFICO</v>
      </c>
    </row>
  </sheetData>
  <autoFilter ref="A1:F130" xr:uid="{23629EDC-52C8-4275-92E2-AB7BE8398894}">
    <filterColumn colId="4">
      <filters>
        <filter val="IMPRESIÓN BOLETOS DE PEAJ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pageSetUpPr fitToPage="1"/>
  </sheetPr>
  <dimension ref="A1:AF68"/>
  <sheetViews>
    <sheetView showGridLines="0" tabSelected="1" topLeftCell="A44" zoomScaleNormal="100" workbookViewId="0">
      <selection activeCell="C40" sqref="C40:G40"/>
    </sheetView>
  </sheetViews>
  <sheetFormatPr defaultColWidth="11.25" defaultRowHeight="14.25" x14ac:dyDescent="0.2"/>
  <cols>
    <col min="1" max="1" width="20.625" style="66" customWidth="1"/>
    <col min="2" max="2" width="22.625" style="66" customWidth="1"/>
    <col min="3" max="3" width="15.625" style="66" customWidth="1"/>
    <col min="4" max="4" width="15.25" style="66" customWidth="1"/>
    <col min="5" max="7" width="15.5" style="66" customWidth="1"/>
    <col min="8" max="8" width="17.125" style="66" customWidth="1"/>
    <col min="9" max="9" width="17.625" style="66" customWidth="1"/>
    <col min="10" max="10" width="18.75" style="66" customWidth="1"/>
    <col min="11" max="11" width="11.25" style="66"/>
    <col min="12" max="12" width="11.25" style="1"/>
    <col min="13" max="13" width="16.5" style="1" customWidth="1"/>
    <col min="14" max="15" width="11.25" style="1" customWidth="1"/>
    <col min="16" max="16" width="15" style="1" customWidth="1"/>
    <col min="17" max="30" width="11.25" style="1"/>
    <col min="31" max="31" width="54" style="142" customWidth="1"/>
    <col min="32" max="32" width="11.25" style="10"/>
    <col min="33" max="16384" width="11.25" style="1"/>
  </cols>
  <sheetData>
    <row r="1" spans="1:31" ht="63.75" customHeight="1" thickBot="1" x14ac:dyDescent="0.25">
      <c r="A1" s="344" t="s">
        <v>419</v>
      </c>
      <c r="B1" s="147"/>
      <c r="C1" s="147"/>
      <c r="D1" s="147"/>
      <c r="E1" s="147"/>
      <c r="F1" s="147"/>
      <c r="G1" s="147"/>
      <c r="H1" s="147"/>
      <c r="I1" s="147"/>
      <c r="J1" s="148"/>
      <c r="AE1" s="142" t="s">
        <v>420</v>
      </c>
    </row>
    <row r="2" spans="1:31" ht="29.25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AE2" s="142" t="s">
        <v>421</v>
      </c>
    </row>
    <row r="3" spans="1:31" ht="25.15" customHeight="1" x14ac:dyDescent="0.2">
      <c r="A3" s="348" t="s">
        <v>422</v>
      </c>
      <c r="B3" s="349"/>
      <c r="C3" s="349"/>
      <c r="D3" s="350"/>
      <c r="E3" s="350"/>
      <c r="F3" s="350"/>
      <c r="G3" s="350"/>
      <c r="H3" s="94" t="s">
        <v>423</v>
      </c>
      <c r="I3" s="351"/>
      <c r="J3" s="352"/>
      <c r="N3" s="9"/>
      <c r="O3" s="9"/>
      <c r="P3" s="9"/>
      <c r="AE3" s="142" t="s">
        <v>424</v>
      </c>
    </row>
    <row r="4" spans="1:31" ht="25.15" customHeight="1" thickBot="1" x14ac:dyDescent="0.25">
      <c r="A4" s="371" t="s">
        <v>3</v>
      </c>
      <c r="B4" s="372"/>
      <c r="C4" s="372"/>
      <c r="D4" s="373"/>
      <c r="E4" s="373"/>
      <c r="F4" s="373"/>
      <c r="G4" s="373"/>
      <c r="H4" s="96" t="s">
        <v>4</v>
      </c>
      <c r="I4" s="318"/>
      <c r="J4" s="319"/>
      <c r="N4" s="9"/>
      <c r="O4" s="9"/>
      <c r="P4" s="9"/>
      <c r="AE4" s="142" t="s">
        <v>425</v>
      </c>
    </row>
    <row r="5" spans="1:31" ht="15" thickBot="1" x14ac:dyDescent="0.25">
      <c r="A5" s="107"/>
      <c r="J5" s="31"/>
      <c r="K5" s="31"/>
      <c r="M5" s="10" t="s">
        <v>71</v>
      </c>
      <c r="AE5" s="142" t="s">
        <v>426</v>
      </c>
    </row>
    <row r="6" spans="1:31" ht="27" customHeight="1" thickBot="1" x14ac:dyDescent="0.25">
      <c r="A6" s="375" t="s">
        <v>5</v>
      </c>
      <c r="B6" s="376"/>
      <c r="C6" s="376"/>
      <c r="D6" s="376"/>
      <c r="E6" s="376"/>
      <c r="F6" s="376"/>
      <c r="G6" s="376"/>
      <c r="H6" s="377"/>
      <c r="I6" s="275" t="s">
        <v>6</v>
      </c>
      <c r="J6" s="362"/>
      <c r="M6" s="10" t="s">
        <v>72</v>
      </c>
      <c r="AE6" s="142" t="s">
        <v>427</v>
      </c>
    </row>
    <row r="7" spans="1:31" ht="27" customHeight="1" thickBot="1" x14ac:dyDescent="0.25">
      <c r="A7" s="122" t="s">
        <v>7</v>
      </c>
      <c r="B7" s="360" t="s">
        <v>428</v>
      </c>
      <c r="C7" s="147"/>
      <c r="D7" s="361"/>
      <c r="E7" s="135" t="s">
        <v>8</v>
      </c>
      <c r="F7" s="123"/>
      <c r="G7" s="124"/>
      <c r="H7" s="125"/>
      <c r="I7" s="363">
        <v>45320</v>
      </c>
      <c r="J7" s="364"/>
      <c r="AE7" s="142" t="s">
        <v>429</v>
      </c>
    </row>
    <row r="8" spans="1:31" x14ac:dyDescent="0.2">
      <c r="A8" s="107"/>
      <c r="J8" s="31"/>
      <c r="K8" s="31"/>
      <c r="M8" s="10" t="s">
        <v>73</v>
      </c>
      <c r="N8" s="1">
        <v>25</v>
      </c>
      <c r="O8" s="1">
        <v>45</v>
      </c>
      <c r="P8" s="1">
        <v>30</v>
      </c>
      <c r="AE8" s="142" t="s">
        <v>430</v>
      </c>
    </row>
    <row r="9" spans="1:31" ht="15" thickBot="1" x14ac:dyDescent="0.25">
      <c r="A9" s="107"/>
      <c r="J9" s="31"/>
      <c r="K9" s="31"/>
      <c r="M9" s="142"/>
      <c r="N9" s="1">
        <v>15</v>
      </c>
      <c r="O9" s="1">
        <v>15</v>
      </c>
      <c r="P9" s="1">
        <v>20</v>
      </c>
      <c r="AE9" s="142" t="s">
        <v>431</v>
      </c>
    </row>
    <row r="10" spans="1:31" ht="27" customHeight="1" thickBot="1" x14ac:dyDescent="0.25">
      <c r="A10" s="216" t="s">
        <v>10</v>
      </c>
      <c r="B10" s="217"/>
      <c r="C10" s="217"/>
      <c r="D10" s="217"/>
      <c r="E10" s="217"/>
      <c r="F10" s="217"/>
      <c r="G10" s="217"/>
      <c r="H10" s="217"/>
      <c r="I10" s="217"/>
      <c r="J10" s="218"/>
      <c r="AE10" s="142" t="s">
        <v>432</v>
      </c>
    </row>
    <row r="11" spans="1:31" ht="27" customHeight="1" thickBot="1" x14ac:dyDescent="0.25">
      <c r="A11" s="140" t="s">
        <v>433</v>
      </c>
      <c r="B11" s="374"/>
      <c r="C11" s="277"/>
      <c r="D11" s="94" t="s">
        <v>12</v>
      </c>
      <c r="E11" s="378"/>
      <c r="F11" s="374"/>
      <c r="G11" s="277"/>
      <c r="H11" s="94" t="s">
        <v>434</v>
      </c>
      <c r="I11" s="379"/>
      <c r="J11" s="352"/>
      <c r="AE11" s="142" t="s">
        <v>435</v>
      </c>
    </row>
    <row r="12" spans="1:31" ht="25.5" customHeight="1" thickBot="1" x14ac:dyDescent="0.25">
      <c r="A12" s="367" t="s">
        <v>436</v>
      </c>
      <c r="B12" s="247"/>
      <c r="C12" s="247"/>
      <c r="D12" s="365" t="s">
        <v>437</v>
      </c>
      <c r="E12" s="127" t="s">
        <v>438</v>
      </c>
      <c r="F12" s="127" t="s">
        <v>439</v>
      </c>
      <c r="G12" s="127" t="s">
        <v>440</v>
      </c>
      <c r="H12" s="16" t="s">
        <v>441</v>
      </c>
      <c r="I12" s="380"/>
      <c r="J12" s="249"/>
      <c r="L12" s="1">
        <f>+Lista</f>
        <v>0</v>
      </c>
      <c r="AE12" s="142" t="s">
        <v>442</v>
      </c>
    </row>
    <row r="13" spans="1:31" ht="29.25" customHeight="1" thickBot="1" x14ac:dyDescent="0.25">
      <c r="A13" s="367"/>
      <c r="B13" s="368"/>
      <c r="C13" s="368"/>
      <c r="D13" s="366"/>
      <c r="E13" s="128"/>
      <c r="F13" s="128"/>
      <c r="G13" s="128"/>
      <c r="H13" s="96" t="s">
        <v>443</v>
      </c>
      <c r="I13" s="159"/>
      <c r="J13" s="319"/>
      <c r="AE13" s="142" t="s">
        <v>444</v>
      </c>
    </row>
    <row r="14" spans="1:31" ht="42.75" x14ac:dyDescent="0.2">
      <c r="A14" s="386" t="s">
        <v>445</v>
      </c>
      <c r="B14" s="126"/>
      <c r="C14" s="136"/>
      <c r="D14" s="136"/>
      <c r="E14" s="136"/>
      <c r="F14" s="136"/>
      <c r="G14" s="136"/>
      <c r="H14" s="136"/>
      <c r="I14" s="136"/>
      <c r="J14" s="137"/>
      <c r="AE14" s="142" t="s">
        <v>446</v>
      </c>
    </row>
    <row r="15" spans="1:31" ht="27" customHeight="1" thickBot="1" x14ac:dyDescent="0.25">
      <c r="A15" s="387"/>
      <c r="B15" s="138"/>
      <c r="C15" s="138"/>
      <c r="D15" s="138"/>
      <c r="E15" s="138"/>
      <c r="F15" s="138"/>
      <c r="G15" s="138"/>
      <c r="H15" s="138"/>
      <c r="I15" s="138"/>
      <c r="J15" s="139"/>
      <c r="AE15" s="142" t="s">
        <v>447</v>
      </c>
    </row>
    <row r="16" spans="1:31" ht="12.75" hidden="1" customHeight="1" x14ac:dyDescent="0.2">
      <c r="A16" s="266" t="s">
        <v>448</v>
      </c>
      <c r="B16" s="267"/>
      <c r="C16" s="267"/>
      <c r="D16" s="267"/>
      <c r="E16" s="267"/>
      <c r="F16" s="267"/>
      <c r="G16" s="267"/>
      <c r="H16" s="267"/>
      <c r="I16" s="268"/>
      <c r="J16" s="381"/>
      <c r="M16" s="10" t="s">
        <v>73</v>
      </c>
      <c r="N16" s="1">
        <v>25</v>
      </c>
      <c r="O16" s="1">
        <v>45</v>
      </c>
      <c r="P16" s="1">
        <v>30</v>
      </c>
      <c r="AE16" s="142" t="s">
        <v>449</v>
      </c>
    </row>
    <row r="17" spans="1:32" ht="29.25" hidden="1" thickBot="1" x14ac:dyDescent="0.25">
      <c r="A17" s="345"/>
      <c r="B17" s="346"/>
      <c r="C17" s="346"/>
      <c r="D17" s="346"/>
      <c r="E17" s="346"/>
      <c r="F17" s="346"/>
      <c r="G17" s="346"/>
      <c r="H17" s="346"/>
      <c r="I17" s="347"/>
      <c r="J17" s="382"/>
      <c r="M17" s="10" t="s">
        <v>71</v>
      </c>
      <c r="N17" s="1">
        <v>15</v>
      </c>
      <c r="O17" s="1">
        <v>15</v>
      </c>
      <c r="P17" s="1">
        <v>20</v>
      </c>
      <c r="AE17" s="142" t="s">
        <v>450</v>
      </c>
    </row>
    <row r="18" spans="1:32" ht="20.100000000000001" customHeight="1" thickBot="1" x14ac:dyDescent="0.25">
      <c r="A18" s="383" t="s">
        <v>18</v>
      </c>
      <c r="B18" s="384"/>
      <c r="C18" s="384"/>
      <c r="D18" s="384"/>
      <c r="E18" s="384"/>
      <c r="F18" s="384"/>
      <c r="G18" s="384"/>
      <c r="H18" s="384"/>
      <c r="I18" s="384"/>
      <c r="J18" s="385"/>
      <c r="AE18" s="142" t="s">
        <v>451</v>
      </c>
    </row>
    <row r="19" spans="1:32" ht="26.25" thickBot="1" x14ac:dyDescent="0.25">
      <c r="A19" s="146" t="s">
        <v>19</v>
      </c>
      <c r="B19" s="147"/>
      <c r="C19" s="146" t="s">
        <v>20</v>
      </c>
      <c r="D19" s="147"/>
      <c r="E19" s="147"/>
      <c r="F19" s="147"/>
      <c r="G19" s="148"/>
      <c r="H19" s="25" t="s">
        <v>21</v>
      </c>
      <c r="I19" s="100" t="s">
        <v>22</v>
      </c>
      <c r="J19" s="26" t="s">
        <v>23</v>
      </c>
      <c r="AE19" s="142" t="s">
        <v>452</v>
      </c>
    </row>
    <row r="20" spans="1:32" ht="36" customHeight="1" x14ac:dyDescent="0.2">
      <c r="A20" s="156" t="s">
        <v>24</v>
      </c>
      <c r="B20" s="257" t="s">
        <v>25</v>
      </c>
      <c r="C20" s="290" t="s">
        <v>26</v>
      </c>
      <c r="D20" s="290"/>
      <c r="E20" s="290"/>
      <c r="F20" s="290"/>
      <c r="G20" s="290"/>
      <c r="H20" s="335" t="s">
        <v>453</v>
      </c>
      <c r="I20" s="62"/>
      <c r="J20" s="355">
        <f>+Datos!G3</f>
        <v>0</v>
      </c>
      <c r="AE20" s="142" t="s">
        <v>454</v>
      </c>
    </row>
    <row r="21" spans="1:32" ht="36" customHeight="1" x14ac:dyDescent="0.2">
      <c r="A21" s="157"/>
      <c r="B21" s="258"/>
      <c r="C21" s="293" t="s">
        <v>28</v>
      </c>
      <c r="D21" s="293"/>
      <c r="E21" s="293"/>
      <c r="F21" s="293"/>
      <c r="G21" s="293"/>
      <c r="H21" s="336"/>
      <c r="I21" s="60"/>
      <c r="J21" s="341"/>
      <c r="AE21" s="142" t="s">
        <v>455</v>
      </c>
    </row>
    <row r="22" spans="1:32" ht="59.45" customHeight="1" thickBot="1" x14ac:dyDescent="0.25">
      <c r="A22" s="157"/>
      <c r="B22" s="258"/>
      <c r="C22" s="334" t="s">
        <v>456</v>
      </c>
      <c r="D22" s="334"/>
      <c r="E22" s="334"/>
      <c r="F22" s="334"/>
      <c r="G22" s="334"/>
      <c r="H22" s="336"/>
      <c r="I22" s="60"/>
      <c r="J22" s="359"/>
      <c r="AE22" s="142" t="s">
        <v>457</v>
      </c>
    </row>
    <row r="23" spans="1:32" s="4" customFormat="1" ht="37.5" customHeight="1" x14ac:dyDescent="0.2">
      <c r="A23" s="157"/>
      <c r="B23" s="356" t="s">
        <v>458</v>
      </c>
      <c r="C23" s="290" t="s">
        <v>31</v>
      </c>
      <c r="D23" s="290"/>
      <c r="E23" s="290"/>
      <c r="F23" s="290"/>
      <c r="G23" s="290"/>
      <c r="H23" s="336"/>
      <c r="I23" s="62"/>
      <c r="J23" s="355">
        <f>+Datos!G4</f>
        <v>0</v>
      </c>
      <c r="K23" s="109"/>
      <c r="AE23" s="142" t="s">
        <v>459</v>
      </c>
      <c r="AF23" s="6"/>
    </row>
    <row r="24" spans="1:32" s="4" customFormat="1" ht="37.5" customHeight="1" x14ac:dyDescent="0.2">
      <c r="A24" s="157"/>
      <c r="B24" s="357"/>
      <c r="C24" s="293" t="s">
        <v>32</v>
      </c>
      <c r="D24" s="293"/>
      <c r="E24" s="293"/>
      <c r="F24" s="293"/>
      <c r="G24" s="293"/>
      <c r="H24" s="336"/>
      <c r="I24" s="60"/>
      <c r="J24" s="341"/>
      <c r="K24" s="109"/>
      <c r="AE24" s="142" t="s">
        <v>460</v>
      </c>
      <c r="AF24" s="6"/>
    </row>
    <row r="25" spans="1:32" s="4" customFormat="1" ht="37.5" customHeight="1" thickBot="1" x14ac:dyDescent="0.25">
      <c r="A25" s="157"/>
      <c r="B25" s="358"/>
      <c r="C25" s="287" t="s">
        <v>33</v>
      </c>
      <c r="D25" s="287"/>
      <c r="E25" s="287"/>
      <c r="F25" s="287"/>
      <c r="G25" s="287"/>
      <c r="H25" s="336"/>
      <c r="I25" s="61"/>
      <c r="J25" s="342"/>
      <c r="K25" s="109"/>
      <c r="AE25" s="142" t="s">
        <v>461</v>
      </c>
      <c r="AF25" s="6"/>
    </row>
    <row r="26" spans="1:32" ht="37.5" customHeight="1" x14ac:dyDescent="0.2">
      <c r="A26" s="157"/>
      <c r="B26" s="257" t="s">
        <v>75</v>
      </c>
      <c r="C26" s="290" t="s">
        <v>462</v>
      </c>
      <c r="D26" s="290"/>
      <c r="E26" s="290"/>
      <c r="F26" s="290"/>
      <c r="G26" s="290"/>
      <c r="H26" s="337"/>
      <c r="I26" s="62"/>
      <c r="J26" s="339">
        <f>+Datos!G5</f>
        <v>3</v>
      </c>
      <c r="AE26" s="142" t="s">
        <v>463</v>
      </c>
    </row>
    <row r="27" spans="1:32" ht="37.5" customHeight="1" x14ac:dyDescent="0.2">
      <c r="A27" s="157"/>
      <c r="B27" s="258"/>
      <c r="C27" s="293" t="s">
        <v>464</v>
      </c>
      <c r="D27" s="293"/>
      <c r="E27" s="293"/>
      <c r="F27" s="293"/>
      <c r="G27" s="293"/>
      <c r="H27" s="337"/>
      <c r="I27" s="60"/>
      <c r="J27" s="340"/>
      <c r="AE27" s="142" t="s">
        <v>465</v>
      </c>
    </row>
    <row r="28" spans="1:32" ht="61.5" customHeight="1" thickBot="1" x14ac:dyDescent="0.25">
      <c r="A28" s="157"/>
      <c r="B28" s="258"/>
      <c r="C28" s="334" t="s">
        <v>466</v>
      </c>
      <c r="D28" s="334"/>
      <c r="E28" s="334"/>
      <c r="F28" s="334"/>
      <c r="G28" s="334"/>
      <c r="H28" s="337"/>
      <c r="I28" s="60"/>
      <c r="J28" s="340"/>
      <c r="AE28" s="142" t="s">
        <v>467</v>
      </c>
    </row>
    <row r="29" spans="1:32" ht="33.75" customHeight="1" x14ac:dyDescent="0.2">
      <c r="A29" s="157"/>
      <c r="B29" s="257" t="s">
        <v>79</v>
      </c>
      <c r="C29" s="290" t="s">
        <v>80</v>
      </c>
      <c r="D29" s="290"/>
      <c r="E29" s="290"/>
      <c r="F29" s="290"/>
      <c r="G29" s="290"/>
      <c r="H29" s="336"/>
      <c r="I29" s="59"/>
      <c r="J29" s="341">
        <f>+Datos!G6</f>
        <v>0</v>
      </c>
      <c r="AE29" s="142" t="s">
        <v>468</v>
      </c>
    </row>
    <row r="30" spans="1:32" ht="40.5" customHeight="1" x14ac:dyDescent="0.2">
      <c r="A30" s="157"/>
      <c r="B30" s="258"/>
      <c r="C30" s="293" t="s">
        <v>81</v>
      </c>
      <c r="D30" s="293"/>
      <c r="E30" s="293"/>
      <c r="F30" s="293"/>
      <c r="G30" s="293"/>
      <c r="H30" s="336"/>
      <c r="I30" s="60"/>
      <c r="J30" s="341"/>
      <c r="AE30" s="142" t="s">
        <v>469</v>
      </c>
    </row>
    <row r="31" spans="1:32" ht="64.5" customHeight="1" thickBot="1" x14ac:dyDescent="0.25">
      <c r="A31" s="157"/>
      <c r="B31" s="283"/>
      <c r="C31" s="343" t="s">
        <v>470</v>
      </c>
      <c r="D31" s="343"/>
      <c r="E31" s="343"/>
      <c r="F31" s="343"/>
      <c r="G31" s="343"/>
      <c r="H31" s="336"/>
      <c r="I31" s="61"/>
      <c r="J31" s="342"/>
      <c r="AE31" s="142" t="s">
        <v>471</v>
      </c>
    </row>
    <row r="32" spans="1:32" s="4" customFormat="1" ht="37.5" customHeight="1" x14ac:dyDescent="0.2">
      <c r="A32" s="157"/>
      <c r="B32" s="356" t="s">
        <v>472</v>
      </c>
      <c r="C32" s="290" t="s">
        <v>473</v>
      </c>
      <c r="D32" s="290"/>
      <c r="E32" s="290"/>
      <c r="F32" s="290"/>
      <c r="G32" s="290"/>
      <c r="H32" s="336"/>
      <c r="I32" s="62"/>
      <c r="J32" s="355">
        <f>+Datos!G7</f>
        <v>3</v>
      </c>
      <c r="K32" s="109"/>
      <c r="M32" s="4" t="s">
        <v>474</v>
      </c>
      <c r="AE32" s="142" t="s">
        <v>475</v>
      </c>
      <c r="AF32" s="6"/>
    </row>
    <row r="33" spans="1:32" s="4" customFormat="1" ht="37.5" customHeight="1" x14ac:dyDescent="0.2">
      <c r="A33" s="157"/>
      <c r="B33" s="357"/>
      <c r="C33" s="293" t="s">
        <v>476</v>
      </c>
      <c r="D33" s="293"/>
      <c r="E33" s="293"/>
      <c r="F33" s="293"/>
      <c r="G33" s="293"/>
      <c r="H33" s="336"/>
      <c r="I33" s="60"/>
      <c r="J33" s="341"/>
      <c r="K33" s="109"/>
      <c r="AE33" s="142" t="s">
        <v>477</v>
      </c>
      <c r="AF33" s="6"/>
    </row>
    <row r="34" spans="1:32" s="4" customFormat="1" ht="49.5" customHeight="1" thickBot="1" x14ac:dyDescent="0.25">
      <c r="A34" s="158"/>
      <c r="B34" s="358"/>
      <c r="C34" s="343" t="s">
        <v>478</v>
      </c>
      <c r="D34" s="343"/>
      <c r="E34" s="343"/>
      <c r="F34" s="343"/>
      <c r="G34" s="343"/>
      <c r="H34" s="338"/>
      <c r="I34" s="61"/>
      <c r="J34" s="342"/>
      <c r="K34" s="109"/>
      <c r="AE34" s="142" t="s">
        <v>479</v>
      </c>
      <c r="AF34" s="6"/>
    </row>
    <row r="35" spans="1:32" s="4" customFormat="1" ht="33.75" customHeight="1" x14ac:dyDescent="0.2">
      <c r="A35" s="157" t="s">
        <v>34</v>
      </c>
      <c r="B35" s="258" t="s">
        <v>480</v>
      </c>
      <c r="C35" s="316" t="s">
        <v>481</v>
      </c>
      <c r="D35" s="316"/>
      <c r="E35" s="316"/>
      <c r="F35" s="316"/>
      <c r="G35" s="316"/>
      <c r="H35" s="336" t="s">
        <v>453</v>
      </c>
      <c r="I35" s="59"/>
      <c r="J35" s="341">
        <f>+Datos!G8</f>
        <v>30</v>
      </c>
      <c r="K35" s="109"/>
      <c r="AE35" s="142" t="s">
        <v>482</v>
      </c>
      <c r="AF35" s="6"/>
    </row>
    <row r="36" spans="1:32" s="4" customFormat="1" ht="36" customHeight="1" x14ac:dyDescent="0.2">
      <c r="A36" s="157"/>
      <c r="B36" s="258"/>
      <c r="C36" s="293" t="s">
        <v>483</v>
      </c>
      <c r="D36" s="293"/>
      <c r="E36" s="293"/>
      <c r="F36" s="293"/>
      <c r="G36" s="293"/>
      <c r="H36" s="336"/>
      <c r="I36" s="60"/>
      <c r="J36" s="341"/>
      <c r="K36" s="109"/>
      <c r="AE36" s="142" t="s">
        <v>484</v>
      </c>
      <c r="AF36" s="6"/>
    </row>
    <row r="37" spans="1:32" s="4" customFormat="1" ht="63.95" customHeight="1" thickBot="1" x14ac:dyDescent="0.25">
      <c r="A37" s="157"/>
      <c r="B37" s="258"/>
      <c r="C37" s="334" t="s">
        <v>485</v>
      </c>
      <c r="D37" s="334"/>
      <c r="E37" s="334"/>
      <c r="F37" s="334"/>
      <c r="G37" s="334"/>
      <c r="H37" s="336"/>
      <c r="I37" s="60"/>
      <c r="J37" s="359"/>
      <c r="K37" s="109"/>
      <c r="AE37" s="142" t="s">
        <v>486</v>
      </c>
      <c r="AF37" s="6"/>
    </row>
    <row r="38" spans="1:32" s="12" customFormat="1" ht="81.95" customHeight="1" x14ac:dyDescent="0.2">
      <c r="A38" s="369" t="s">
        <v>487</v>
      </c>
      <c r="B38" s="257" t="s">
        <v>92</v>
      </c>
      <c r="C38" s="290" t="s">
        <v>488</v>
      </c>
      <c r="D38" s="403"/>
      <c r="E38" s="403"/>
      <c r="F38" s="403"/>
      <c r="G38" s="403"/>
      <c r="H38" s="335" t="s">
        <v>489</v>
      </c>
      <c r="I38" s="110"/>
      <c r="J38" s="404">
        <f>+Datos!G9</f>
        <v>5</v>
      </c>
      <c r="K38" s="111"/>
      <c r="L38" s="13"/>
      <c r="M38" s="13"/>
      <c r="N38" s="13"/>
      <c r="O38" s="13"/>
      <c r="P38" s="13"/>
      <c r="AE38" s="142" t="s">
        <v>490</v>
      </c>
      <c r="AF38" s="143"/>
    </row>
    <row r="39" spans="1:32" s="12" customFormat="1" ht="60.95" customHeight="1" x14ac:dyDescent="0.2">
      <c r="A39" s="370"/>
      <c r="B39" s="258"/>
      <c r="C39" s="407" t="s">
        <v>491</v>
      </c>
      <c r="D39" s="407"/>
      <c r="E39" s="407"/>
      <c r="F39" s="407"/>
      <c r="G39" s="407"/>
      <c r="H39" s="336"/>
      <c r="I39" s="112"/>
      <c r="J39" s="405"/>
      <c r="K39" s="111"/>
      <c r="L39" s="13"/>
      <c r="M39" s="13"/>
      <c r="N39" s="13"/>
      <c r="O39" s="13"/>
      <c r="P39" s="13"/>
      <c r="AE39" s="142" t="s">
        <v>492</v>
      </c>
      <c r="AF39" s="143"/>
    </row>
    <row r="40" spans="1:32" s="12" customFormat="1" ht="123.95" customHeight="1" thickBot="1" x14ac:dyDescent="0.25">
      <c r="A40" s="370"/>
      <c r="B40" s="283"/>
      <c r="C40" s="343" t="s">
        <v>493</v>
      </c>
      <c r="D40" s="343"/>
      <c r="E40" s="343"/>
      <c r="F40" s="343"/>
      <c r="G40" s="343"/>
      <c r="H40" s="338"/>
      <c r="I40" s="113"/>
      <c r="J40" s="406"/>
      <c r="K40" s="111"/>
      <c r="L40" s="13"/>
      <c r="M40" s="13"/>
      <c r="N40" s="13"/>
      <c r="O40" s="13"/>
      <c r="P40" s="13"/>
      <c r="AE40" s="142" t="s">
        <v>494</v>
      </c>
      <c r="AF40" s="143"/>
    </row>
    <row r="41" spans="1:32" s="12" customFormat="1" ht="42" customHeight="1" x14ac:dyDescent="0.2">
      <c r="A41" s="370"/>
      <c r="B41" s="356" t="s">
        <v>96</v>
      </c>
      <c r="C41" s="408" t="s">
        <v>495</v>
      </c>
      <c r="D41" s="408"/>
      <c r="E41" s="408"/>
      <c r="F41" s="408"/>
      <c r="G41" s="408"/>
      <c r="H41" s="335" t="s">
        <v>453</v>
      </c>
      <c r="I41" s="110"/>
      <c r="J41" s="404">
        <f>+Datos!G10</f>
        <v>10</v>
      </c>
      <c r="K41" s="111"/>
      <c r="L41" s="13"/>
      <c r="M41" s="13"/>
      <c r="N41" s="13"/>
      <c r="O41" s="13"/>
      <c r="P41" s="13"/>
      <c r="AE41" s="142" t="s">
        <v>496</v>
      </c>
      <c r="AF41" s="143"/>
    </row>
    <row r="42" spans="1:32" s="12" customFormat="1" ht="55.5" customHeight="1" x14ac:dyDescent="0.2">
      <c r="A42" s="370"/>
      <c r="B42" s="357"/>
      <c r="C42" s="407" t="s">
        <v>497</v>
      </c>
      <c r="D42" s="407"/>
      <c r="E42" s="407"/>
      <c r="F42" s="407"/>
      <c r="G42" s="407"/>
      <c r="H42" s="336"/>
      <c r="I42" s="112"/>
      <c r="J42" s="405"/>
      <c r="K42" s="111"/>
      <c r="L42" s="13"/>
      <c r="M42" s="13"/>
      <c r="N42" s="13"/>
      <c r="O42" s="13"/>
      <c r="P42" s="13"/>
      <c r="AE42" s="142" t="s">
        <v>498</v>
      </c>
      <c r="AF42" s="143"/>
    </row>
    <row r="43" spans="1:32" s="12" customFormat="1" ht="67.5" customHeight="1" thickBot="1" x14ac:dyDescent="0.25">
      <c r="A43" s="370"/>
      <c r="B43" s="358"/>
      <c r="C43" s="343" t="s">
        <v>499</v>
      </c>
      <c r="D43" s="343"/>
      <c r="E43" s="343"/>
      <c r="F43" s="343"/>
      <c r="G43" s="343"/>
      <c r="H43" s="338"/>
      <c r="I43" s="113"/>
      <c r="J43" s="406"/>
      <c r="K43" s="111"/>
      <c r="L43" s="13"/>
      <c r="M43" s="13"/>
      <c r="N43" s="13"/>
      <c r="O43" s="13"/>
      <c r="P43" s="13"/>
      <c r="AE43" s="142" t="s">
        <v>500</v>
      </c>
      <c r="AF43" s="143"/>
    </row>
    <row r="44" spans="1:32" ht="27" customHeight="1" x14ac:dyDescent="0.2">
      <c r="A44" s="156" t="s">
        <v>39</v>
      </c>
      <c r="B44" s="356" t="s">
        <v>40</v>
      </c>
      <c r="C44" s="290" t="s">
        <v>501</v>
      </c>
      <c r="D44" s="290"/>
      <c r="E44" s="290"/>
      <c r="F44" s="290"/>
      <c r="G44" s="290"/>
      <c r="H44" s="353" t="s">
        <v>502</v>
      </c>
      <c r="I44" s="62"/>
      <c r="J44" s="355">
        <f>+Datos!G11</f>
        <v>10</v>
      </c>
      <c r="L44" s="11"/>
      <c r="AE44" s="142" t="s">
        <v>503</v>
      </c>
    </row>
    <row r="45" spans="1:32" ht="27" customHeight="1" thickBot="1" x14ac:dyDescent="0.25">
      <c r="A45" s="157"/>
      <c r="B45" s="358"/>
      <c r="C45" s="287" t="s">
        <v>504</v>
      </c>
      <c r="D45" s="287"/>
      <c r="E45" s="287"/>
      <c r="F45" s="287"/>
      <c r="G45" s="287"/>
      <c r="H45" s="354"/>
      <c r="I45" s="61"/>
      <c r="J45" s="342"/>
      <c r="L45" s="11"/>
      <c r="AE45" s="142" t="s">
        <v>505</v>
      </c>
    </row>
    <row r="46" spans="1:32" ht="65.25" customHeight="1" x14ac:dyDescent="0.2">
      <c r="A46" s="157"/>
      <c r="B46" s="356" t="s">
        <v>44</v>
      </c>
      <c r="C46" s="290" t="s">
        <v>45</v>
      </c>
      <c r="D46" s="290"/>
      <c r="E46" s="290"/>
      <c r="F46" s="290"/>
      <c r="G46" s="290"/>
      <c r="H46" s="353" t="s">
        <v>506</v>
      </c>
      <c r="I46" s="62"/>
      <c r="J46" s="355">
        <f>+Datos!G12</f>
        <v>0</v>
      </c>
      <c r="L46" s="1" t="s">
        <v>507</v>
      </c>
      <c r="AE46" s="142" t="s">
        <v>508</v>
      </c>
    </row>
    <row r="47" spans="1:32" ht="65.25" customHeight="1" x14ac:dyDescent="0.2">
      <c r="A47" s="157"/>
      <c r="B47" s="357"/>
      <c r="C47" s="293" t="s">
        <v>47</v>
      </c>
      <c r="D47" s="293"/>
      <c r="E47" s="293"/>
      <c r="F47" s="293"/>
      <c r="G47" s="293"/>
      <c r="H47" s="398"/>
      <c r="I47" s="60"/>
      <c r="J47" s="341"/>
      <c r="L47" s="14"/>
      <c r="AE47" s="142" t="s">
        <v>509</v>
      </c>
    </row>
    <row r="48" spans="1:32" ht="89.1" customHeight="1" thickBot="1" x14ac:dyDescent="0.25">
      <c r="A48" s="158"/>
      <c r="B48" s="358"/>
      <c r="C48" s="343" t="s">
        <v>510</v>
      </c>
      <c r="D48" s="343"/>
      <c r="E48" s="343"/>
      <c r="F48" s="343"/>
      <c r="G48" s="343"/>
      <c r="H48" s="354"/>
      <c r="I48" s="61"/>
      <c r="J48" s="342"/>
      <c r="AE48" s="142" t="s">
        <v>511</v>
      </c>
    </row>
    <row r="49" spans="1:32" customFormat="1" ht="30.75" thickBot="1" x14ac:dyDescent="0.25">
      <c r="A49" s="71" t="s">
        <v>49</v>
      </c>
      <c r="B49" s="42" t="s">
        <v>49</v>
      </c>
      <c r="C49" s="399" t="s">
        <v>512</v>
      </c>
      <c r="D49" s="250"/>
      <c r="E49" s="250"/>
      <c r="F49" s="400"/>
      <c r="G49" s="400"/>
      <c r="H49" s="141" t="s">
        <v>453</v>
      </c>
      <c r="I49" s="401"/>
      <c r="J49" s="402"/>
      <c r="K49" s="31"/>
      <c r="AE49" s="142" t="s">
        <v>513</v>
      </c>
      <c r="AF49" s="129"/>
    </row>
    <row r="50" spans="1:32" ht="15" thickBot="1" x14ac:dyDescent="0.25">
      <c r="A50" s="107"/>
      <c r="J50" s="31"/>
      <c r="K50" s="31"/>
      <c r="AE50" s="142" t="s">
        <v>514</v>
      </c>
    </row>
    <row r="51" spans="1:32" ht="25.5" customHeight="1" x14ac:dyDescent="0.2">
      <c r="A51" s="168" t="s">
        <v>52</v>
      </c>
      <c r="B51" s="169"/>
      <c r="C51" s="169"/>
      <c r="D51" s="170"/>
      <c r="G51" s="168" t="s">
        <v>53</v>
      </c>
      <c r="H51" s="169"/>
      <c r="I51" s="169"/>
      <c r="J51" s="170"/>
      <c r="AE51" s="142" t="s">
        <v>515</v>
      </c>
    </row>
    <row r="52" spans="1:32" ht="25.5" x14ac:dyDescent="0.2">
      <c r="A52" s="281" t="s">
        <v>54</v>
      </c>
      <c r="B52" s="282"/>
      <c r="C52" s="98" t="s">
        <v>55</v>
      </c>
      <c r="D52" s="20" t="s">
        <v>56</v>
      </c>
      <c r="G52" s="392" t="s">
        <v>516</v>
      </c>
      <c r="H52" s="393"/>
      <c r="I52" s="393"/>
      <c r="J52" s="394"/>
      <c r="AE52" s="142" t="s">
        <v>517</v>
      </c>
    </row>
    <row r="53" spans="1:32" ht="20.100000000000001" customHeight="1" x14ac:dyDescent="0.2">
      <c r="A53" s="309" t="s">
        <v>57</v>
      </c>
      <c r="B53" s="310"/>
      <c r="C53" s="3">
        <f>IF(Datos!$B$16,Datos!C19,Datos!D19)</f>
        <v>20</v>
      </c>
      <c r="D53" s="21">
        <f>+Datos!E19</f>
        <v>10</v>
      </c>
      <c r="G53" s="392"/>
      <c r="H53" s="393"/>
      <c r="I53" s="393"/>
      <c r="J53" s="394"/>
    </row>
    <row r="54" spans="1:32" ht="20.100000000000001" customHeight="1" x14ac:dyDescent="0.2">
      <c r="A54" s="309" t="s">
        <v>58</v>
      </c>
      <c r="B54" s="310"/>
      <c r="C54" s="3">
        <f>IF(Datos!$B$16,Datos!C20,Datos!D20)</f>
        <v>30</v>
      </c>
      <c r="D54" s="21">
        <f>+Datos!E20</f>
        <v>6</v>
      </c>
      <c r="G54" s="392"/>
      <c r="H54" s="393"/>
      <c r="I54" s="393"/>
      <c r="J54" s="394"/>
    </row>
    <row r="55" spans="1:32" ht="20.100000000000001" customHeight="1" x14ac:dyDescent="0.2">
      <c r="A55" s="309" t="s">
        <v>59</v>
      </c>
      <c r="B55" s="310"/>
      <c r="C55" s="3">
        <f>IF(Datos!$B$16,Datos!C21,Datos!D21)</f>
        <v>30</v>
      </c>
      <c r="D55" s="21">
        <f>+Datos!E21</f>
        <v>30</v>
      </c>
      <c r="G55" s="392"/>
      <c r="H55" s="393"/>
      <c r="I55" s="393"/>
      <c r="J55" s="394"/>
    </row>
    <row r="56" spans="1:32" ht="20.100000000000001" customHeight="1" x14ac:dyDescent="0.2">
      <c r="A56" s="309" t="s">
        <v>91</v>
      </c>
      <c r="B56" s="310"/>
      <c r="C56" s="3">
        <f>IF(Datos!$B$16,Datos!C22,Datos!D22)</f>
        <v>20</v>
      </c>
      <c r="D56" s="21">
        <f>+Datos!E22</f>
        <v>15</v>
      </c>
      <c r="G56" s="392"/>
      <c r="H56" s="393"/>
      <c r="I56" s="393"/>
      <c r="J56" s="394"/>
    </row>
    <row r="57" spans="1:32" ht="29.25" customHeight="1" thickBot="1" x14ac:dyDescent="0.25">
      <c r="A57" s="313" t="s">
        <v>60</v>
      </c>
      <c r="B57" s="314"/>
      <c r="C57" s="18">
        <f>SUM(C53:C56)</f>
        <v>100</v>
      </c>
      <c r="D57" s="91">
        <f>SUM(D53:D56)</f>
        <v>61</v>
      </c>
      <c r="G57" s="392"/>
      <c r="H57" s="393"/>
      <c r="I57" s="393"/>
      <c r="J57" s="394"/>
    </row>
    <row r="58" spans="1:32" ht="8.25" customHeight="1" thickBot="1" x14ac:dyDescent="0.25">
      <c r="A58" s="31"/>
      <c r="B58" s="31"/>
      <c r="C58" s="31"/>
      <c r="D58" s="31"/>
      <c r="G58" s="392"/>
      <c r="H58" s="393"/>
      <c r="I58" s="393"/>
      <c r="J58" s="394"/>
    </row>
    <row r="59" spans="1:32" ht="30" customHeight="1" thickBot="1" x14ac:dyDescent="0.25">
      <c r="A59" s="311" t="s">
        <v>101</v>
      </c>
      <c r="B59" s="312"/>
      <c r="C59" s="390" t="b">
        <f>+Datos!C13</f>
        <v>0</v>
      </c>
      <c r="D59" s="391"/>
      <c r="G59" s="392"/>
      <c r="H59" s="393"/>
      <c r="I59" s="393"/>
      <c r="J59" s="394"/>
    </row>
    <row r="60" spans="1:32" ht="30" customHeight="1" thickBot="1" x14ac:dyDescent="0.25">
      <c r="A60" s="313" t="s">
        <v>102</v>
      </c>
      <c r="B60" s="314"/>
      <c r="C60" s="18">
        <v>100</v>
      </c>
      <c r="D60" s="19">
        <f>IF(C59,0,SUM(D53:D56))</f>
        <v>61</v>
      </c>
      <c r="G60" s="395"/>
      <c r="H60" s="396"/>
      <c r="I60" s="396"/>
      <c r="J60" s="397"/>
      <c r="Q60" s="23"/>
    </row>
    <row r="61" spans="1:32" ht="15" thickBot="1" x14ac:dyDescent="0.25">
      <c r="J61" s="31"/>
      <c r="K61" s="31"/>
    </row>
    <row r="62" spans="1:32" s="10" customFormat="1" ht="25.5" customHeight="1" x14ac:dyDescent="0.2">
      <c r="A62" s="168" t="s">
        <v>518</v>
      </c>
      <c r="B62" s="169"/>
      <c r="C62" s="169"/>
      <c r="D62" s="169"/>
      <c r="E62" s="253"/>
      <c r="F62" s="320" t="s">
        <v>519</v>
      </c>
      <c r="G62" s="169"/>
      <c r="H62" s="169"/>
      <c r="I62" s="169"/>
      <c r="J62" s="170"/>
      <c r="K62" s="114"/>
      <c r="AE62" s="142"/>
    </row>
    <row r="63" spans="1:32" ht="19.5" customHeight="1" x14ac:dyDescent="0.2">
      <c r="A63" s="321" t="s">
        <v>520</v>
      </c>
      <c r="B63" s="322"/>
      <c r="C63" s="322"/>
      <c r="D63" s="322"/>
      <c r="E63" s="323"/>
      <c r="F63" s="324" t="s">
        <v>520</v>
      </c>
      <c r="G63" s="322"/>
      <c r="H63" s="322"/>
      <c r="I63" s="322"/>
      <c r="J63" s="325"/>
    </row>
    <row r="64" spans="1:32" ht="19.5" customHeight="1" x14ac:dyDescent="0.2">
      <c r="A64" s="321" t="s">
        <v>521</v>
      </c>
      <c r="B64" s="322"/>
      <c r="C64" s="322"/>
      <c r="D64" s="322"/>
      <c r="E64" s="323"/>
      <c r="F64" s="324" t="s">
        <v>521</v>
      </c>
      <c r="G64" s="322"/>
      <c r="H64" s="322"/>
      <c r="I64" s="322"/>
      <c r="J64" s="325"/>
    </row>
    <row r="65" spans="1:10" x14ac:dyDescent="0.2">
      <c r="A65" s="326" t="s">
        <v>67</v>
      </c>
      <c r="B65" s="327"/>
      <c r="C65" s="327"/>
      <c r="D65" s="327"/>
      <c r="E65" s="328"/>
      <c r="F65" s="329" t="s">
        <v>67</v>
      </c>
      <c r="G65" s="327"/>
      <c r="H65" s="327"/>
      <c r="I65" s="327"/>
      <c r="J65" s="330"/>
    </row>
    <row r="66" spans="1:10" ht="33.75" customHeight="1" thickBot="1" x14ac:dyDescent="0.25">
      <c r="A66" s="388"/>
      <c r="B66" s="332"/>
      <c r="C66" s="332"/>
      <c r="D66" s="332"/>
      <c r="E66" s="389"/>
      <c r="F66" s="331"/>
      <c r="G66" s="332"/>
      <c r="H66" s="332"/>
      <c r="I66" s="332"/>
      <c r="J66" s="333"/>
    </row>
    <row r="67" spans="1:10" x14ac:dyDescent="0.2">
      <c r="A67" s="107"/>
    </row>
    <row r="68" spans="1:10" x14ac:dyDescent="0.2">
      <c r="A68" s="107"/>
    </row>
  </sheetData>
  <sheetProtection selectLockedCells="1" selectUnlockedCells="1"/>
  <mergeCells count="109">
    <mergeCell ref="C36:G36"/>
    <mergeCell ref="B44:B45"/>
    <mergeCell ref="A54:B54"/>
    <mergeCell ref="C38:G38"/>
    <mergeCell ref="H38:H40"/>
    <mergeCell ref="J38:J40"/>
    <mergeCell ref="C39:G39"/>
    <mergeCell ref="C40:G40"/>
    <mergeCell ref="C41:G41"/>
    <mergeCell ref="H41:H43"/>
    <mergeCell ref="J41:J43"/>
    <mergeCell ref="C42:G42"/>
    <mergeCell ref="C43:G43"/>
    <mergeCell ref="C34:G34"/>
    <mergeCell ref="J32:J34"/>
    <mergeCell ref="A66:E66"/>
    <mergeCell ref="A51:D51"/>
    <mergeCell ref="G51:J51"/>
    <mergeCell ref="A62:E62"/>
    <mergeCell ref="A55:B55"/>
    <mergeCell ref="A52:B52"/>
    <mergeCell ref="A59:B59"/>
    <mergeCell ref="C59:D59"/>
    <mergeCell ref="A57:B57"/>
    <mergeCell ref="A60:B60"/>
    <mergeCell ref="G52:J60"/>
    <mergeCell ref="C37:G37"/>
    <mergeCell ref="H35:H37"/>
    <mergeCell ref="A56:B56"/>
    <mergeCell ref="C46:G46"/>
    <mergeCell ref="H46:H48"/>
    <mergeCell ref="J46:J48"/>
    <mergeCell ref="C47:G47"/>
    <mergeCell ref="C48:G48"/>
    <mergeCell ref="C49:G49"/>
    <mergeCell ref="I49:J49"/>
    <mergeCell ref="A53:B53"/>
    <mergeCell ref="A12:A13"/>
    <mergeCell ref="B12:C13"/>
    <mergeCell ref="B46:B48"/>
    <mergeCell ref="A20:A34"/>
    <mergeCell ref="A38:A43"/>
    <mergeCell ref="A44:A48"/>
    <mergeCell ref="A4:C4"/>
    <mergeCell ref="D4:G4"/>
    <mergeCell ref="B11:C11"/>
    <mergeCell ref="A6:H6"/>
    <mergeCell ref="A35:A37"/>
    <mergeCell ref="A10:J10"/>
    <mergeCell ref="E11:G11"/>
    <mergeCell ref="I11:J11"/>
    <mergeCell ref="I12:J12"/>
    <mergeCell ref="J16:J17"/>
    <mergeCell ref="A18:J18"/>
    <mergeCell ref="J23:J25"/>
    <mergeCell ref="B38:B40"/>
    <mergeCell ref="B41:B43"/>
    <mergeCell ref="A19:B19"/>
    <mergeCell ref="C21:G21"/>
    <mergeCell ref="A14:A15"/>
    <mergeCell ref="I13:J13"/>
    <mergeCell ref="A1:J1"/>
    <mergeCell ref="A16:I17"/>
    <mergeCell ref="A3:C3"/>
    <mergeCell ref="D3:G3"/>
    <mergeCell ref="I3:J3"/>
    <mergeCell ref="C19:G19"/>
    <mergeCell ref="C44:G44"/>
    <mergeCell ref="H44:H45"/>
    <mergeCell ref="J44:J45"/>
    <mergeCell ref="C45:G45"/>
    <mergeCell ref="B20:B22"/>
    <mergeCell ref="B23:B25"/>
    <mergeCell ref="B26:B28"/>
    <mergeCell ref="B29:B31"/>
    <mergeCell ref="B32:B34"/>
    <mergeCell ref="B35:B37"/>
    <mergeCell ref="C20:G20"/>
    <mergeCell ref="J20:J22"/>
    <mergeCell ref="C35:G35"/>
    <mergeCell ref="J35:J37"/>
    <mergeCell ref="B7:D7"/>
    <mergeCell ref="I6:J6"/>
    <mergeCell ref="I7:J7"/>
    <mergeCell ref="D12:D13"/>
    <mergeCell ref="I4:J4"/>
    <mergeCell ref="F62:J62"/>
    <mergeCell ref="A63:E63"/>
    <mergeCell ref="F63:J63"/>
    <mergeCell ref="A64:E64"/>
    <mergeCell ref="F64:J64"/>
    <mergeCell ref="A65:E65"/>
    <mergeCell ref="F65:J65"/>
    <mergeCell ref="F66:J66"/>
    <mergeCell ref="C22:G22"/>
    <mergeCell ref="H20:H34"/>
    <mergeCell ref="C23:G23"/>
    <mergeCell ref="C24:G24"/>
    <mergeCell ref="C25:G25"/>
    <mergeCell ref="C26:G26"/>
    <mergeCell ref="J26:J28"/>
    <mergeCell ref="C27:G27"/>
    <mergeCell ref="C28:G28"/>
    <mergeCell ref="C29:G29"/>
    <mergeCell ref="J29:J31"/>
    <mergeCell ref="C30:G30"/>
    <mergeCell ref="C31:G31"/>
    <mergeCell ref="C32:G32"/>
    <mergeCell ref="C33:G33"/>
  </mergeCells>
  <dataValidations count="1">
    <dataValidation type="list" allowBlank="1" showInputMessage="1" showErrorMessage="1" errorTitle="Volver a Seleccionar" promptTitle="Seleccione Categoría" sqref="I12:J12" xr:uid="{F406D75F-19E7-4ED1-A009-B74E81AA546F}">
      <formula1>Lista_Cat</formula1>
    </dataValidation>
  </dataValidations>
  <pageMargins left="0.23622047244094491" right="0.23622047244094491" top="0.74803149606299213" bottom="0.74803149606299213" header="0.31496062992125984" footer="0.31496062992125984"/>
  <pageSetup scale="55" fitToHeight="2" orientation="portrait" r:id="rId1"/>
  <ignoredErrors>
    <ignoredError sqref="J20 J23 J26 J29 J35 J38 J41 J46 J44 J32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Group Box 1">
              <controlPr defaultSize="0" print="0" autoFill="0" autoPict="0">
                <anchor moveWithCells="1">
                  <from>
                    <xdr:col>7</xdr:col>
                    <xdr:colOff>1019175</xdr:colOff>
                    <xdr:row>18</xdr:row>
                    <xdr:rowOff>323850</xdr:rowOff>
                  </from>
                  <to>
                    <xdr:col>9</xdr:col>
                    <xdr:colOff>1143000</xdr:colOff>
                    <xdr:row>21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8</xdr:col>
                    <xdr:colOff>381000</xdr:colOff>
                    <xdr:row>19</xdr:row>
                    <xdr:rowOff>104775</xdr:rowOff>
                  </from>
                  <to>
                    <xdr:col>8</xdr:col>
                    <xdr:colOff>666750</xdr:colOff>
                    <xdr:row>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Option Button 6">
              <controlPr defaultSize="0" autoFill="0" autoLine="0" autoPict="0">
                <anchor moveWithCells="1">
                  <from>
                    <xdr:col>8</xdr:col>
                    <xdr:colOff>381000</xdr:colOff>
                    <xdr:row>20</xdr:row>
                    <xdr:rowOff>76200</xdr:rowOff>
                  </from>
                  <to>
                    <xdr:col>8</xdr:col>
                    <xdr:colOff>647700</xdr:colOff>
                    <xdr:row>20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Option Button 7">
              <controlPr defaultSize="0" autoFill="0" autoLine="0" autoPict="0">
                <anchor moveWithCells="1">
                  <from>
                    <xdr:col>8</xdr:col>
                    <xdr:colOff>381000</xdr:colOff>
                    <xdr:row>21</xdr:row>
                    <xdr:rowOff>133350</xdr:rowOff>
                  </from>
                  <to>
                    <xdr:col>8</xdr:col>
                    <xdr:colOff>647700</xdr:colOff>
                    <xdr:row>21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Group Box 9">
              <controlPr defaultSize="0" print="0" autoFill="0" autoPict="0">
                <anchor moveWithCells="1">
                  <from>
                    <xdr:col>8</xdr:col>
                    <xdr:colOff>0</xdr:colOff>
                    <xdr:row>22</xdr:row>
                    <xdr:rowOff>0</xdr:rowOff>
                  </from>
                  <to>
                    <xdr:col>10</xdr:col>
                    <xdr:colOff>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Option Button 10">
              <controlPr defaultSize="0" autoFill="0" autoLine="0" autoPict="0">
                <anchor moveWithCells="1">
                  <from>
                    <xdr:col>8</xdr:col>
                    <xdr:colOff>381000</xdr:colOff>
                    <xdr:row>22</xdr:row>
                    <xdr:rowOff>171450</xdr:rowOff>
                  </from>
                  <to>
                    <xdr:col>8</xdr:col>
                    <xdr:colOff>704850</xdr:colOff>
                    <xdr:row>22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Option Button 11">
              <controlPr defaultSize="0" autoFill="0" autoLine="0" autoPict="0">
                <anchor moveWithCells="1">
                  <from>
                    <xdr:col>8</xdr:col>
                    <xdr:colOff>381000</xdr:colOff>
                    <xdr:row>23</xdr:row>
                    <xdr:rowOff>95250</xdr:rowOff>
                  </from>
                  <to>
                    <xdr:col>8</xdr:col>
                    <xdr:colOff>704850</xdr:colOff>
                    <xdr:row>23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Option Button 12">
              <controlPr defaultSize="0" autoFill="0" autoLine="0" autoPict="0">
                <anchor moveWithCells="1">
                  <from>
                    <xdr:col>8</xdr:col>
                    <xdr:colOff>381000</xdr:colOff>
                    <xdr:row>24</xdr:row>
                    <xdr:rowOff>76200</xdr:rowOff>
                  </from>
                  <to>
                    <xdr:col>8</xdr:col>
                    <xdr:colOff>704850</xdr:colOff>
                    <xdr:row>24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Group Box 14">
              <controlPr defaultSize="0" print="0" autoFill="0" autoPict="0">
                <anchor moveWithCells="1">
                  <from>
                    <xdr:col>8</xdr:col>
                    <xdr:colOff>0</xdr:colOff>
                    <xdr:row>25</xdr:row>
                    <xdr:rowOff>19050</xdr:rowOff>
                  </from>
                  <to>
                    <xdr:col>10</xdr:col>
                    <xdr:colOff>0</xdr:colOff>
                    <xdr:row>27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Option Button 15">
              <controlPr defaultSize="0" autoFill="0" autoLine="0" autoPict="0">
                <anchor moveWithCells="1">
                  <from>
                    <xdr:col>8</xdr:col>
                    <xdr:colOff>381000</xdr:colOff>
                    <xdr:row>25</xdr:row>
                    <xdr:rowOff>209550</xdr:rowOff>
                  </from>
                  <to>
                    <xdr:col>8</xdr:col>
                    <xdr:colOff>704850</xdr:colOff>
                    <xdr:row>25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4" name="Option Button 17">
              <controlPr defaultSize="0" autoFill="0" autoLine="0" autoPict="0">
                <anchor moveWithCells="1">
                  <from>
                    <xdr:col>8</xdr:col>
                    <xdr:colOff>381000</xdr:colOff>
                    <xdr:row>26</xdr:row>
                    <xdr:rowOff>114300</xdr:rowOff>
                  </from>
                  <to>
                    <xdr:col>8</xdr:col>
                    <xdr:colOff>704850</xdr:colOff>
                    <xdr:row>26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5" name="Option Button 18">
              <controlPr defaultSize="0" autoFill="0" autoLine="0" autoPict="0">
                <anchor moveWithCells="1">
                  <from>
                    <xdr:col>8</xdr:col>
                    <xdr:colOff>381000</xdr:colOff>
                    <xdr:row>27</xdr:row>
                    <xdr:rowOff>152400</xdr:rowOff>
                  </from>
                  <to>
                    <xdr:col>8</xdr:col>
                    <xdr:colOff>704850</xdr:colOff>
                    <xdr:row>27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Group Box 25">
              <controlPr defaultSize="0" print="0" autoFill="0" autoPict="0">
                <anchor moveWithCells="1">
                  <from>
                    <xdr:col>8</xdr:col>
                    <xdr:colOff>0</xdr:colOff>
                    <xdr:row>28</xdr:row>
                    <xdr:rowOff>19050</xdr:rowOff>
                  </from>
                  <to>
                    <xdr:col>10</xdr:col>
                    <xdr:colOff>0</xdr:colOff>
                    <xdr:row>30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Group Box 26">
              <controlPr defaultSize="0" print="0" autoFill="0" autoPict="0">
                <anchor moveWithCells="1">
                  <from>
                    <xdr:col>8</xdr:col>
                    <xdr:colOff>0</xdr:colOff>
                    <xdr:row>31</xdr:row>
                    <xdr:rowOff>19050</xdr:rowOff>
                  </from>
                  <to>
                    <xdr:col>10</xdr:col>
                    <xdr:colOff>0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Group Box 27">
              <controlPr defaultSize="0" print="0" autoFill="0" autoPict="0">
                <anchor moveWithCells="1">
                  <from>
                    <xdr:col>8</xdr:col>
                    <xdr:colOff>0</xdr:colOff>
                    <xdr:row>34</xdr:row>
                    <xdr:rowOff>0</xdr:rowOff>
                  </from>
                  <to>
                    <xdr:col>10</xdr:col>
                    <xdr:colOff>0</xdr:colOff>
                    <xdr:row>36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Group Box 28">
              <controlPr defaultSize="0" print="0" autoFill="0" autoPict="0">
                <anchor moveWithCells="1">
                  <from>
                    <xdr:col>8</xdr:col>
                    <xdr:colOff>0</xdr:colOff>
                    <xdr:row>37</xdr:row>
                    <xdr:rowOff>0</xdr:rowOff>
                  </from>
                  <to>
                    <xdr:col>10</xdr:col>
                    <xdr:colOff>0</xdr:colOff>
                    <xdr:row>39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Group Box 29">
              <controlPr defaultSize="0" print="0" autoFill="0" autoPict="0">
                <anchor moveWithCells="1">
                  <from>
                    <xdr:col>8</xdr:col>
                    <xdr:colOff>0</xdr:colOff>
                    <xdr:row>40</xdr:row>
                    <xdr:rowOff>19050</xdr:rowOff>
                  </from>
                  <to>
                    <xdr:col>10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Group Box 30">
              <controlPr defaultSize="0" print="0" autoFill="0" autoPict="0">
                <anchor moveWithCells="1">
                  <from>
                    <xdr:col>8</xdr:col>
                    <xdr:colOff>0</xdr:colOff>
                    <xdr:row>43</xdr:row>
                    <xdr:rowOff>19050</xdr:rowOff>
                  </from>
                  <to>
                    <xdr:col>10</xdr:col>
                    <xdr:colOff>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Group Box 31">
              <controlPr defaultSize="0" print="0" autoFill="0" autoPict="0">
                <anchor moveWithCells="1">
                  <from>
                    <xdr:col>8</xdr:col>
                    <xdr:colOff>0</xdr:colOff>
                    <xdr:row>45</xdr:row>
                    <xdr:rowOff>0</xdr:rowOff>
                  </from>
                  <to>
                    <xdr:col>10</xdr:col>
                    <xdr:colOff>0</xdr:colOff>
                    <xdr:row>47</xdr:row>
                    <xdr:rowOff>828675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3" name="Option Button 33">
              <controlPr defaultSize="0" autoFill="0" autoLine="0" autoPict="0">
                <anchor moveWithCells="1">
                  <from>
                    <xdr:col>8</xdr:col>
                    <xdr:colOff>381000</xdr:colOff>
                    <xdr:row>28</xdr:row>
                    <xdr:rowOff>228600</xdr:rowOff>
                  </from>
                  <to>
                    <xdr:col>8</xdr:col>
                    <xdr:colOff>704850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4" name="Option Button 34">
              <controlPr defaultSize="0" autoFill="0" autoLine="0" autoPict="0">
                <anchor moveWithCells="1">
                  <from>
                    <xdr:col>8</xdr:col>
                    <xdr:colOff>381000</xdr:colOff>
                    <xdr:row>29</xdr:row>
                    <xdr:rowOff>209550</xdr:rowOff>
                  </from>
                  <to>
                    <xdr:col>8</xdr:col>
                    <xdr:colOff>704850</xdr:colOff>
                    <xdr:row>29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5" name="Option Button 35">
              <controlPr defaultSize="0" autoFill="0" autoLine="0" autoPict="0">
                <anchor moveWithCells="1">
                  <from>
                    <xdr:col>8</xdr:col>
                    <xdr:colOff>381000</xdr:colOff>
                    <xdr:row>30</xdr:row>
                    <xdr:rowOff>180975</xdr:rowOff>
                  </from>
                  <to>
                    <xdr:col>8</xdr:col>
                    <xdr:colOff>704850</xdr:colOff>
                    <xdr:row>30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6" name="Option Button 36">
              <controlPr defaultSize="0" autoFill="0" autoLine="0" autoPict="0">
                <anchor moveWithCells="1">
                  <from>
                    <xdr:col>8</xdr:col>
                    <xdr:colOff>381000</xdr:colOff>
                    <xdr:row>31</xdr:row>
                    <xdr:rowOff>180975</xdr:rowOff>
                  </from>
                  <to>
                    <xdr:col>8</xdr:col>
                    <xdr:colOff>704850</xdr:colOff>
                    <xdr:row>31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7" name="Option Button 38">
              <controlPr defaultSize="0" autoFill="0" autoLine="0" autoPict="0">
                <anchor moveWithCells="1">
                  <from>
                    <xdr:col>8</xdr:col>
                    <xdr:colOff>381000</xdr:colOff>
                    <xdr:row>32</xdr:row>
                    <xdr:rowOff>133350</xdr:rowOff>
                  </from>
                  <to>
                    <xdr:col>8</xdr:col>
                    <xdr:colOff>704850</xdr:colOff>
                    <xdr:row>32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8" name="Option Button 39">
              <controlPr defaultSize="0" autoFill="0" autoLine="0" autoPict="0">
                <anchor moveWithCells="1">
                  <from>
                    <xdr:col>8</xdr:col>
                    <xdr:colOff>381000</xdr:colOff>
                    <xdr:row>33</xdr:row>
                    <xdr:rowOff>171450</xdr:rowOff>
                  </from>
                  <to>
                    <xdr:col>8</xdr:col>
                    <xdr:colOff>704850</xdr:colOff>
                    <xdr:row>33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9" name="Option Button 40">
              <controlPr defaultSize="0" autoFill="0" autoLine="0" autoPict="0">
                <anchor moveWithCells="1">
                  <from>
                    <xdr:col>8</xdr:col>
                    <xdr:colOff>381000</xdr:colOff>
                    <xdr:row>34</xdr:row>
                    <xdr:rowOff>171450</xdr:rowOff>
                  </from>
                  <to>
                    <xdr:col>8</xdr:col>
                    <xdr:colOff>704850</xdr:colOff>
                    <xdr:row>34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0" name="Option Button 41">
              <controlPr defaultSize="0" autoFill="0" autoLine="0" autoPict="0">
                <anchor moveWithCells="1">
                  <from>
                    <xdr:col>8</xdr:col>
                    <xdr:colOff>381000</xdr:colOff>
                    <xdr:row>35</xdr:row>
                    <xdr:rowOff>152400</xdr:rowOff>
                  </from>
                  <to>
                    <xdr:col>8</xdr:col>
                    <xdr:colOff>704850</xdr:colOff>
                    <xdr:row>35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1" name="Option Button 42">
              <controlPr defaultSize="0" autoFill="0" autoLine="0" autoPict="0">
                <anchor moveWithCells="1">
                  <from>
                    <xdr:col>8</xdr:col>
                    <xdr:colOff>381000</xdr:colOff>
                    <xdr:row>36</xdr:row>
                    <xdr:rowOff>219075</xdr:rowOff>
                  </from>
                  <to>
                    <xdr:col>8</xdr:col>
                    <xdr:colOff>704850</xdr:colOff>
                    <xdr:row>36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2" name="Option Button 45">
              <controlPr defaultSize="0" autoFill="0" autoLine="0" autoPict="0">
                <anchor moveWithCells="1">
                  <from>
                    <xdr:col>8</xdr:col>
                    <xdr:colOff>381000</xdr:colOff>
                    <xdr:row>37</xdr:row>
                    <xdr:rowOff>219075</xdr:rowOff>
                  </from>
                  <to>
                    <xdr:col>8</xdr:col>
                    <xdr:colOff>704850</xdr:colOff>
                    <xdr:row>37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3" name="Option Button 46">
              <controlPr defaultSize="0" autoFill="0" autoLine="0" autoPict="0">
                <anchor moveWithCells="1">
                  <from>
                    <xdr:col>8</xdr:col>
                    <xdr:colOff>381000</xdr:colOff>
                    <xdr:row>38</xdr:row>
                    <xdr:rowOff>247650</xdr:rowOff>
                  </from>
                  <to>
                    <xdr:col>8</xdr:col>
                    <xdr:colOff>704850</xdr:colOff>
                    <xdr:row>38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4" name="Option Button 47">
              <controlPr defaultSize="0" autoFill="0" autoLine="0" autoPict="0">
                <anchor moveWithCells="1">
                  <from>
                    <xdr:col>8</xdr:col>
                    <xdr:colOff>381000</xdr:colOff>
                    <xdr:row>39</xdr:row>
                    <xdr:rowOff>400050</xdr:rowOff>
                  </from>
                  <to>
                    <xdr:col>8</xdr:col>
                    <xdr:colOff>704850</xdr:colOff>
                    <xdr:row>39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5" name="Option Button 48">
              <controlPr defaultSize="0" autoFill="0" autoLine="0" autoPict="0">
                <anchor moveWithCells="1">
                  <from>
                    <xdr:col>8</xdr:col>
                    <xdr:colOff>381000</xdr:colOff>
                    <xdr:row>40</xdr:row>
                    <xdr:rowOff>219075</xdr:rowOff>
                  </from>
                  <to>
                    <xdr:col>8</xdr:col>
                    <xdr:colOff>704850</xdr:colOff>
                    <xdr:row>40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6" name="Option Button 50">
              <controlPr defaultSize="0" autoFill="0" autoLine="0" autoPict="0">
                <anchor moveWithCells="1">
                  <from>
                    <xdr:col>8</xdr:col>
                    <xdr:colOff>381000</xdr:colOff>
                    <xdr:row>41</xdr:row>
                    <xdr:rowOff>304800</xdr:rowOff>
                  </from>
                  <to>
                    <xdr:col>8</xdr:col>
                    <xdr:colOff>704850</xdr:colOff>
                    <xdr:row>41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7" name="Option Button 51">
              <controlPr defaultSize="0" autoFill="0" autoLine="0" autoPict="0">
                <anchor moveWithCells="1">
                  <from>
                    <xdr:col>8</xdr:col>
                    <xdr:colOff>381000</xdr:colOff>
                    <xdr:row>42</xdr:row>
                    <xdr:rowOff>323850</xdr:rowOff>
                  </from>
                  <to>
                    <xdr:col>8</xdr:col>
                    <xdr:colOff>704850</xdr:colOff>
                    <xdr:row>42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8" name="Option Button 52">
              <controlPr defaultSize="0" autoFill="0" autoLine="0" autoPict="0">
                <anchor moveWithCells="1">
                  <from>
                    <xdr:col>8</xdr:col>
                    <xdr:colOff>381000</xdr:colOff>
                    <xdr:row>43</xdr:row>
                    <xdr:rowOff>76200</xdr:rowOff>
                  </from>
                  <to>
                    <xdr:col>8</xdr:col>
                    <xdr:colOff>704850</xdr:colOff>
                    <xdr:row>43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9" name="Option Button 53">
              <controlPr defaultSize="0" autoFill="0" autoLine="0" autoPict="0">
                <anchor moveWithCells="1">
                  <from>
                    <xdr:col>8</xdr:col>
                    <xdr:colOff>381000</xdr:colOff>
                    <xdr:row>44</xdr:row>
                    <xdr:rowOff>66675</xdr:rowOff>
                  </from>
                  <to>
                    <xdr:col>8</xdr:col>
                    <xdr:colOff>704850</xdr:colOff>
                    <xdr:row>44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0" name="Option Button 55">
              <controlPr defaultSize="0" autoFill="0" autoLine="0" autoPict="0">
                <anchor moveWithCells="1">
                  <from>
                    <xdr:col>8</xdr:col>
                    <xdr:colOff>381000</xdr:colOff>
                    <xdr:row>45</xdr:row>
                    <xdr:rowOff>333375</xdr:rowOff>
                  </from>
                  <to>
                    <xdr:col>8</xdr:col>
                    <xdr:colOff>704850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1" name="Option Button 56">
              <controlPr defaultSize="0" autoFill="0" autoLine="0" autoPict="0">
                <anchor moveWithCells="1">
                  <from>
                    <xdr:col>8</xdr:col>
                    <xdr:colOff>381000</xdr:colOff>
                    <xdr:row>46</xdr:row>
                    <xdr:rowOff>285750</xdr:rowOff>
                  </from>
                  <to>
                    <xdr:col>8</xdr:col>
                    <xdr:colOff>704850</xdr:colOff>
                    <xdr:row>46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2" name="Option Button 57">
              <controlPr defaultSize="0" autoFill="0" autoLine="0" autoPict="0">
                <anchor moveWithCells="1">
                  <from>
                    <xdr:col>8</xdr:col>
                    <xdr:colOff>381000</xdr:colOff>
                    <xdr:row>47</xdr:row>
                    <xdr:rowOff>295275</xdr:rowOff>
                  </from>
                  <to>
                    <xdr:col>8</xdr:col>
                    <xdr:colOff>704850</xdr:colOff>
                    <xdr:row>47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3" name="Check Box 58">
              <controlPr defaultSize="0" autoFill="0" autoLine="0" autoPict="0">
                <anchor moveWithCells="1">
                  <from>
                    <xdr:col>8</xdr:col>
                    <xdr:colOff>942975</xdr:colOff>
                    <xdr:row>48</xdr:row>
                    <xdr:rowOff>209550</xdr:rowOff>
                  </from>
                  <to>
                    <xdr:col>8</xdr:col>
                    <xdr:colOff>1219200</xdr:colOff>
                    <xdr:row>49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307"/>
  <sheetViews>
    <sheetView zoomScale="70" zoomScaleNormal="70" workbookViewId="0">
      <selection activeCell="A2" sqref="A2"/>
    </sheetView>
  </sheetViews>
  <sheetFormatPr defaultColWidth="11" defaultRowHeight="14.25" x14ac:dyDescent="0.2"/>
  <cols>
    <col min="1" max="1" width="78.625" customWidth="1"/>
    <col min="2" max="2" width="2.25" customWidth="1"/>
    <col min="3" max="3" width="48.125" customWidth="1"/>
    <col min="4" max="4" width="50.125" customWidth="1"/>
    <col min="5" max="5" width="54.75" customWidth="1"/>
    <col min="6" max="6" width="32.625" customWidth="1"/>
    <col min="7" max="7" width="36" customWidth="1"/>
    <col min="8" max="8" width="59.75" customWidth="1"/>
    <col min="9" max="9" width="32.5" customWidth="1"/>
    <col min="10" max="10" width="44.75" customWidth="1"/>
    <col min="11" max="11" width="53.375" customWidth="1"/>
    <col min="12" max="12" width="50" customWidth="1"/>
    <col min="13" max="13" width="46.375" customWidth="1"/>
    <col min="14" max="14" width="52.75" customWidth="1"/>
    <col min="15" max="15" width="36.75" customWidth="1"/>
    <col min="16" max="16" width="105.25" customWidth="1"/>
    <col min="17" max="17" width="42.75" customWidth="1"/>
    <col min="18" max="18" width="49" customWidth="1" collapsed="1"/>
    <col min="19" max="19" width="39.75" customWidth="1"/>
    <col min="20" max="20" width="52.5" customWidth="1"/>
    <col min="21" max="21" width="79" customWidth="1"/>
    <col min="22" max="22" width="49" customWidth="1"/>
    <col min="23" max="23" width="63.375" customWidth="1" collapsed="1"/>
    <col min="24" max="24" width="50.5" customWidth="1"/>
    <col min="25" max="25" width="35.125" customWidth="1"/>
    <col min="26" max="26" width="58.375" customWidth="1"/>
    <col min="27" max="27" width="54.75" customWidth="1"/>
    <col min="28" max="28" width="54.375" customWidth="1" collapsed="1"/>
    <col min="29" max="30" width="50" customWidth="1"/>
    <col min="31" max="31" width="61" customWidth="1" collapsed="1"/>
    <col min="32" max="32" width="72.625" customWidth="1"/>
    <col min="33" max="33" width="66" customWidth="1"/>
    <col min="34" max="34" width="48.5" customWidth="1"/>
    <col min="35" max="35" width="38.75" customWidth="1"/>
    <col min="36" max="36" width="48.75" customWidth="1"/>
    <col min="37" max="37" width="51.75" customWidth="1"/>
    <col min="38" max="38" width="74.125" customWidth="1"/>
    <col min="39" max="39" width="61.5" customWidth="1"/>
    <col min="40" max="40" width="69.375" bestFit="1" customWidth="1"/>
    <col min="41" max="41" width="47.625" bestFit="1" customWidth="1"/>
    <col min="42" max="42" width="55" bestFit="1" customWidth="1"/>
    <col min="43" max="43" width="111" bestFit="1" customWidth="1"/>
    <col min="44" max="44" width="55.75" bestFit="1" customWidth="1"/>
    <col min="45" max="45" width="86.5" bestFit="1" customWidth="1"/>
    <col min="46" max="46" width="76" bestFit="1" customWidth="1"/>
    <col min="47" max="47" width="67.75" bestFit="1" customWidth="1"/>
    <col min="48" max="48" width="97.125" bestFit="1" customWidth="1"/>
    <col min="49" max="49" width="86.75" bestFit="1" customWidth="1"/>
    <col min="50" max="50" width="49.5" bestFit="1" customWidth="1"/>
    <col min="51" max="51" width="103.125" bestFit="1" customWidth="1"/>
    <col min="52" max="52" width="53.25" bestFit="1" customWidth="1"/>
    <col min="53" max="53" width="46.125" bestFit="1" customWidth="1"/>
    <col min="54" max="54" width="40" bestFit="1" customWidth="1"/>
    <col min="55" max="55" width="51.75" bestFit="1" customWidth="1"/>
    <col min="56" max="56" width="40.125" bestFit="1" customWidth="1"/>
    <col min="57" max="57" width="45.5" bestFit="1" customWidth="1"/>
    <col min="58" max="58" width="20.125" bestFit="1" customWidth="1"/>
    <col min="59" max="59" width="27.25" bestFit="1" customWidth="1"/>
    <col min="60" max="60" width="33" bestFit="1" customWidth="1"/>
    <col min="61" max="61" width="42.75" bestFit="1" customWidth="1"/>
    <col min="62" max="62" width="26" bestFit="1" customWidth="1"/>
    <col min="63" max="63" width="58" bestFit="1" customWidth="1"/>
    <col min="64" max="64" width="25.75" bestFit="1" customWidth="1"/>
    <col min="65" max="65" width="51.75" bestFit="1" customWidth="1"/>
    <col min="66" max="66" width="36.75" bestFit="1" customWidth="1"/>
    <col min="67" max="67" width="38" bestFit="1" customWidth="1"/>
    <col min="68" max="68" width="29.25" bestFit="1" customWidth="1"/>
    <col min="69" max="69" width="59.75" bestFit="1" customWidth="1"/>
    <col min="70" max="70" width="36" bestFit="1" customWidth="1"/>
    <col min="71" max="71" width="33" bestFit="1" customWidth="1"/>
    <col min="72" max="72" width="30.125" bestFit="1" customWidth="1"/>
    <col min="73" max="73" width="34.75" bestFit="1" customWidth="1"/>
    <col min="74" max="74" width="50.25" bestFit="1" customWidth="1"/>
    <col min="75" max="75" width="19.75" bestFit="1" customWidth="1"/>
    <col min="76" max="76" width="54.75" bestFit="1" customWidth="1"/>
    <col min="77" max="77" width="19.75" bestFit="1" customWidth="1"/>
    <col min="78" max="78" width="38.75" bestFit="1" customWidth="1"/>
    <col min="79" max="79" width="25" bestFit="1" customWidth="1"/>
    <col min="80" max="80" width="24.75" bestFit="1" customWidth="1"/>
    <col min="81" max="81" width="18" bestFit="1" customWidth="1"/>
    <col min="82" max="82" width="25.625" bestFit="1" customWidth="1"/>
    <col min="83" max="83" width="23.75" bestFit="1" customWidth="1"/>
    <col min="84" max="84" width="43.25" bestFit="1" customWidth="1"/>
  </cols>
  <sheetData>
    <row r="1" spans="1:84" ht="25.5" customHeight="1" thickBot="1" x14ac:dyDescent="0.3">
      <c r="A1" s="132" t="s">
        <v>522</v>
      </c>
      <c r="C1" s="133" t="s">
        <v>420</v>
      </c>
      <c r="D1" s="133" t="s">
        <v>421</v>
      </c>
      <c r="E1" s="133" t="s">
        <v>424</v>
      </c>
      <c r="F1" s="133" t="s">
        <v>425</v>
      </c>
      <c r="G1" s="133" t="s">
        <v>426</v>
      </c>
      <c r="H1" s="133" t="s">
        <v>427</v>
      </c>
      <c r="I1" s="133" t="s">
        <v>429</v>
      </c>
      <c r="J1" s="133" t="s">
        <v>430</v>
      </c>
      <c r="K1" s="133" t="s">
        <v>431</v>
      </c>
      <c r="L1" s="133" t="s">
        <v>432</v>
      </c>
      <c r="M1" s="133" t="s">
        <v>435</v>
      </c>
      <c r="N1" s="133" t="s">
        <v>442</v>
      </c>
      <c r="O1" s="133" t="s">
        <v>444</v>
      </c>
      <c r="P1" s="133" t="s">
        <v>446</v>
      </c>
      <c r="Q1" s="133" t="s">
        <v>447</v>
      </c>
      <c r="R1" s="133" t="s">
        <v>449</v>
      </c>
      <c r="S1" s="133" t="s">
        <v>450</v>
      </c>
      <c r="T1" s="133" t="s">
        <v>451</v>
      </c>
      <c r="U1" s="133" t="s">
        <v>452</v>
      </c>
      <c r="V1" s="133" t="s">
        <v>454</v>
      </c>
      <c r="W1" s="133" t="s">
        <v>455</v>
      </c>
      <c r="X1" s="133" t="s">
        <v>457</v>
      </c>
      <c r="Y1" s="133" t="s">
        <v>459</v>
      </c>
      <c r="Z1" s="133" t="s">
        <v>460</v>
      </c>
      <c r="AA1" s="133" t="s">
        <v>461</v>
      </c>
      <c r="AB1" s="133" t="s">
        <v>463</v>
      </c>
      <c r="AC1" s="133" t="s">
        <v>465</v>
      </c>
      <c r="AD1" s="133" t="s">
        <v>467</v>
      </c>
      <c r="AE1" s="133" t="s">
        <v>468</v>
      </c>
      <c r="AF1" s="133" t="s">
        <v>469</v>
      </c>
      <c r="AG1" s="133" t="s">
        <v>471</v>
      </c>
      <c r="AH1" s="133" t="s">
        <v>475</v>
      </c>
      <c r="AI1" s="133" t="s">
        <v>477</v>
      </c>
      <c r="AJ1" s="133" t="s">
        <v>479</v>
      </c>
      <c r="AK1" s="133" t="s">
        <v>482</v>
      </c>
      <c r="AL1" s="133" t="s">
        <v>484</v>
      </c>
      <c r="AM1" s="133" t="s">
        <v>486</v>
      </c>
      <c r="AN1" s="133" t="s">
        <v>490</v>
      </c>
      <c r="AO1" s="133" t="s">
        <v>492</v>
      </c>
      <c r="AP1" s="133" t="s">
        <v>494</v>
      </c>
      <c r="AQ1" s="133" t="s">
        <v>496</v>
      </c>
      <c r="AR1" s="133" t="s">
        <v>498</v>
      </c>
      <c r="AS1" s="133" t="s">
        <v>500</v>
      </c>
      <c r="AT1" s="133" t="s">
        <v>503</v>
      </c>
      <c r="AU1" s="133" t="s">
        <v>505</v>
      </c>
      <c r="AV1" s="133" t="s">
        <v>508</v>
      </c>
      <c r="AW1" s="133" t="s">
        <v>509</v>
      </c>
      <c r="AX1" s="133" t="s">
        <v>511</v>
      </c>
      <c r="AY1" s="133" t="s">
        <v>513</v>
      </c>
      <c r="AZ1" s="133" t="s">
        <v>514</v>
      </c>
      <c r="BA1" s="133" t="s">
        <v>515</v>
      </c>
      <c r="BB1" s="133" t="s">
        <v>517</v>
      </c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</row>
    <row r="2" spans="1:84" ht="15" x14ac:dyDescent="0.25">
      <c r="A2" s="130" t="s">
        <v>420</v>
      </c>
      <c r="C2" s="134" t="s">
        <v>523</v>
      </c>
      <c r="D2" s="134" t="s">
        <v>524</v>
      </c>
      <c r="E2" s="134" t="s">
        <v>525</v>
      </c>
      <c r="F2" s="134" t="s">
        <v>526</v>
      </c>
      <c r="G2" s="134" t="s">
        <v>527</v>
      </c>
      <c r="H2" s="134" t="s">
        <v>528</v>
      </c>
      <c r="I2" s="134" t="s">
        <v>529</v>
      </c>
      <c r="J2" s="134" t="s">
        <v>530</v>
      </c>
      <c r="K2" s="134" t="s">
        <v>531</v>
      </c>
      <c r="L2" s="134" t="s">
        <v>532</v>
      </c>
      <c r="M2" s="134" t="s">
        <v>533</v>
      </c>
      <c r="N2" s="134" t="s">
        <v>534</v>
      </c>
      <c r="O2" s="134" t="s">
        <v>535</v>
      </c>
      <c r="P2" s="134" t="s">
        <v>536</v>
      </c>
      <c r="Q2" s="134" t="s">
        <v>537</v>
      </c>
      <c r="R2" s="134" t="s">
        <v>538</v>
      </c>
      <c r="S2" s="134" t="s">
        <v>539</v>
      </c>
      <c r="T2" s="134" t="s">
        <v>540</v>
      </c>
      <c r="U2" s="134" t="s">
        <v>541</v>
      </c>
      <c r="V2" s="134" t="s">
        <v>542</v>
      </c>
      <c r="W2" s="134" t="s">
        <v>543</v>
      </c>
      <c r="X2" s="134" t="s">
        <v>544</v>
      </c>
      <c r="Y2" s="134" t="s">
        <v>545</v>
      </c>
      <c r="Z2" s="134" t="s">
        <v>546</v>
      </c>
      <c r="AA2" s="134" t="s">
        <v>547</v>
      </c>
      <c r="AB2" s="134" t="s">
        <v>548</v>
      </c>
      <c r="AC2" s="134" t="s">
        <v>549</v>
      </c>
      <c r="AD2" s="134" t="s">
        <v>550</v>
      </c>
      <c r="AE2" s="134" t="s">
        <v>551</v>
      </c>
      <c r="AF2" s="134" t="s">
        <v>552</v>
      </c>
      <c r="AG2" s="134" t="s">
        <v>553</v>
      </c>
      <c r="AH2" s="134" t="s">
        <v>554</v>
      </c>
      <c r="AI2" s="134" t="s">
        <v>555</v>
      </c>
      <c r="AJ2" s="134" t="s">
        <v>556</v>
      </c>
      <c r="AK2" s="134" t="s">
        <v>557</v>
      </c>
      <c r="AL2" s="134" t="s">
        <v>558</v>
      </c>
      <c r="AM2" s="134" t="s">
        <v>559</v>
      </c>
      <c r="AN2" s="134" t="s">
        <v>560</v>
      </c>
      <c r="AO2" s="134" t="s">
        <v>561</v>
      </c>
      <c r="AP2" s="134" t="s">
        <v>562</v>
      </c>
      <c r="AQ2" s="134" t="s">
        <v>563</v>
      </c>
      <c r="AR2" s="134" t="s">
        <v>564</v>
      </c>
      <c r="AS2" s="134" t="s">
        <v>565</v>
      </c>
      <c r="AT2" s="134" t="s">
        <v>566</v>
      </c>
      <c r="AU2" s="134" t="s">
        <v>567</v>
      </c>
      <c r="AV2" s="134" t="s">
        <v>568</v>
      </c>
      <c r="AW2" s="134" t="s">
        <v>569</v>
      </c>
      <c r="AX2" s="134" t="s">
        <v>570</v>
      </c>
      <c r="AY2" s="134" t="s">
        <v>571</v>
      </c>
      <c r="AZ2" s="134" t="s">
        <v>572</v>
      </c>
      <c r="BA2" s="134" t="s">
        <v>573</v>
      </c>
      <c r="BB2" s="134" t="s">
        <v>574</v>
      </c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4"/>
      <c r="BS2" s="144"/>
      <c r="BT2" s="144"/>
      <c r="BU2" s="144"/>
      <c r="BV2" s="144"/>
      <c r="BW2" s="144"/>
      <c r="BX2" s="144"/>
      <c r="BY2" s="144"/>
      <c r="BZ2" s="144"/>
      <c r="CA2" s="144"/>
      <c r="CB2" s="144"/>
      <c r="CC2" s="144"/>
      <c r="CD2" s="144"/>
      <c r="CE2" s="144"/>
      <c r="CF2" s="144"/>
    </row>
    <row r="3" spans="1:84" x14ac:dyDescent="0.2">
      <c r="A3" s="130" t="s">
        <v>421</v>
      </c>
      <c r="C3" s="134" t="s">
        <v>575</v>
      </c>
      <c r="D3" s="134"/>
      <c r="E3" s="134" t="s">
        <v>576</v>
      </c>
      <c r="F3" s="134"/>
      <c r="G3" s="134"/>
      <c r="H3" s="134" t="s">
        <v>577</v>
      </c>
      <c r="I3" s="134" t="s">
        <v>578</v>
      </c>
      <c r="J3" s="134" t="s">
        <v>579</v>
      </c>
      <c r="K3" s="134"/>
      <c r="L3" s="134"/>
      <c r="M3" s="134" t="s">
        <v>580</v>
      </c>
      <c r="N3" s="134"/>
      <c r="O3" s="134"/>
      <c r="P3" s="134"/>
      <c r="Q3" s="134"/>
      <c r="R3" s="134"/>
      <c r="S3" s="134"/>
      <c r="T3" s="134" t="s">
        <v>581</v>
      </c>
      <c r="U3" s="134" t="s">
        <v>582</v>
      </c>
      <c r="V3" s="134" t="s">
        <v>583</v>
      </c>
      <c r="W3" s="134"/>
      <c r="X3" s="134"/>
      <c r="Y3" s="134"/>
      <c r="Z3" s="134"/>
      <c r="AA3" s="134" t="s">
        <v>584</v>
      </c>
      <c r="AB3" s="134" t="s">
        <v>585</v>
      </c>
      <c r="AC3" s="134"/>
      <c r="AD3" s="134" t="s">
        <v>586</v>
      </c>
      <c r="AE3" s="134"/>
      <c r="AF3" s="134"/>
      <c r="AG3" s="134"/>
      <c r="AH3" s="134"/>
      <c r="AI3" s="134"/>
      <c r="AJ3" s="134" t="s">
        <v>587</v>
      </c>
      <c r="AK3" s="134"/>
      <c r="AL3" s="134" t="s">
        <v>588</v>
      </c>
      <c r="AM3" s="134"/>
      <c r="AN3" s="134" t="s">
        <v>589</v>
      </c>
      <c r="AO3" s="134"/>
      <c r="AP3" s="134" t="s">
        <v>590</v>
      </c>
      <c r="AQ3" s="134"/>
      <c r="AR3" s="134" t="s">
        <v>591</v>
      </c>
      <c r="AS3" s="134"/>
      <c r="AT3" s="134" t="s">
        <v>592</v>
      </c>
      <c r="AU3" s="134"/>
      <c r="AV3" s="134" t="s">
        <v>593</v>
      </c>
      <c r="AW3" s="134"/>
      <c r="AX3" s="134"/>
      <c r="AY3" s="134"/>
      <c r="AZ3" s="134" t="s">
        <v>594</v>
      </c>
      <c r="BA3" s="134" t="s">
        <v>595</v>
      </c>
      <c r="BB3" s="134" t="s">
        <v>596</v>
      </c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  <c r="BW3" s="134"/>
      <c r="BX3" s="134"/>
      <c r="BY3" s="134"/>
      <c r="BZ3" s="134"/>
      <c r="CA3" s="134"/>
      <c r="CB3" s="134"/>
      <c r="CC3" s="134"/>
      <c r="CD3" s="134"/>
      <c r="CE3" s="134"/>
      <c r="CF3" s="134"/>
    </row>
    <row r="4" spans="1:84" x14ac:dyDescent="0.2">
      <c r="A4" s="130" t="s">
        <v>424</v>
      </c>
      <c r="C4" s="134" t="s">
        <v>597</v>
      </c>
      <c r="D4" s="134"/>
      <c r="E4" s="134"/>
      <c r="F4" s="134"/>
      <c r="G4" s="134"/>
      <c r="H4" s="134" t="s">
        <v>598</v>
      </c>
      <c r="I4" s="134"/>
      <c r="J4" s="134" t="s">
        <v>599</v>
      </c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 t="s">
        <v>600</v>
      </c>
      <c r="AC4" s="134"/>
      <c r="AD4" s="134"/>
      <c r="AE4" s="134"/>
      <c r="AF4" s="134"/>
      <c r="AG4" s="134"/>
      <c r="AH4" s="134"/>
      <c r="AI4" s="134"/>
      <c r="AJ4" s="134" t="s">
        <v>601</v>
      </c>
      <c r="AK4" s="134"/>
      <c r="AL4" s="134" t="s">
        <v>602</v>
      </c>
      <c r="AM4" s="134"/>
      <c r="AN4" s="134" t="s">
        <v>603</v>
      </c>
      <c r="AO4" s="134"/>
      <c r="AP4" s="134" t="s">
        <v>604</v>
      </c>
      <c r="AQ4" s="134"/>
      <c r="AR4" s="134" t="s">
        <v>605</v>
      </c>
      <c r="AS4" s="134"/>
      <c r="AT4" s="134" t="s">
        <v>606</v>
      </c>
      <c r="AU4" s="134"/>
      <c r="AV4" s="134" t="s">
        <v>607</v>
      </c>
      <c r="AW4" s="134"/>
      <c r="AX4" s="134"/>
      <c r="AY4" s="134"/>
      <c r="AZ4" s="134"/>
      <c r="BA4" s="134"/>
      <c r="BB4" s="134" t="s">
        <v>608</v>
      </c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</row>
    <row r="5" spans="1:84" x14ac:dyDescent="0.2">
      <c r="A5" s="130" t="s">
        <v>425</v>
      </c>
      <c r="C5" s="134" t="s">
        <v>609</v>
      </c>
      <c r="D5" s="134"/>
      <c r="E5" s="134"/>
      <c r="F5" s="134"/>
      <c r="G5" s="134"/>
      <c r="H5" s="134" t="s">
        <v>610</v>
      </c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 t="s">
        <v>611</v>
      </c>
      <c r="AK5" s="134"/>
      <c r="AL5" s="134" t="s">
        <v>612</v>
      </c>
      <c r="AM5" s="134"/>
      <c r="AN5" s="134" t="s">
        <v>613</v>
      </c>
      <c r="AO5" s="134"/>
      <c r="AP5" s="134" t="s">
        <v>614</v>
      </c>
      <c r="AQ5" s="134"/>
      <c r="AR5" s="134" t="s">
        <v>615</v>
      </c>
      <c r="AS5" s="134"/>
      <c r="AT5" s="134"/>
      <c r="AU5" s="134"/>
      <c r="AV5" s="134" t="s">
        <v>616</v>
      </c>
      <c r="AW5" s="134"/>
      <c r="AX5" s="134"/>
      <c r="AY5" s="134"/>
      <c r="AZ5" s="134"/>
      <c r="BA5" s="134"/>
      <c r="BB5" s="134" t="s">
        <v>617</v>
      </c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134"/>
      <c r="BO5" s="134"/>
      <c r="BP5" s="134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4"/>
      <c r="CD5" s="134"/>
      <c r="CE5" s="134"/>
      <c r="CF5" s="134"/>
    </row>
    <row r="6" spans="1:84" x14ac:dyDescent="0.2">
      <c r="A6" s="130" t="s">
        <v>426</v>
      </c>
      <c r="C6" s="134" t="s">
        <v>618</v>
      </c>
      <c r="D6" s="134"/>
      <c r="E6" s="134"/>
      <c r="F6" s="134"/>
      <c r="G6" s="134"/>
      <c r="H6" s="134" t="s">
        <v>619</v>
      </c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 t="s">
        <v>620</v>
      </c>
      <c r="AM6" s="134"/>
      <c r="AN6" s="134" t="s">
        <v>621</v>
      </c>
      <c r="AO6" s="134"/>
      <c r="AP6" s="134" t="s">
        <v>622</v>
      </c>
      <c r="AQ6" s="134"/>
      <c r="AR6" s="134" t="s">
        <v>623</v>
      </c>
      <c r="AS6" s="134"/>
      <c r="AT6" s="134"/>
      <c r="AU6" s="134"/>
      <c r="AV6" s="134" t="s">
        <v>624</v>
      </c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4"/>
      <c r="CD6" s="134"/>
      <c r="CE6" s="134"/>
      <c r="CF6" s="134"/>
    </row>
    <row r="7" spans="1:84" x14ac:dyDescent="0.2">
      <c r="A7" s="130" t="s">
        <v>427</v>
      </c>
      <c r="C7" s="134" t="s">
        <v>625</v>
      </c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 t="s">
        <v>626</v>
      </c>
      <c r="AM7" s="134"/>
      <c r="AN7" s="134" t="s">
        <v>627</v>
      </c>
      <c r="AO7" s="134"/>
      <c r="AP7" s="134"/>
      <c r="AQ7" s="134"/>
      <c r="AR7" s="134" t="s">
        <v>628</v>
      </c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34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4"/>
      <c r="CD7" s="134"/>
      <c r="CE7" s="134"/>
      <c r="CF7" s="134"/>
    </row>
    <row r="8" spans="1:84" x14ac:dyDescent="0.2">
      <c r="A8" s="130" t="s">
        <v>429</v>
      </c>
      <c r="C8" s="134" t="s">
        <v>629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 t="s">
        <v>630</v>
      </c>
      <c r="AM8" s="134"/>
      <c r="AN8" s="134" t="s">
        <v>631</v>
      </c>
      <c r="AO8" s="134"/>
      <c r="AP8" s="134"/>
      <c r="AQ8" s="134"/>
      <c r="AR8" s="134" t="s">
        <v>632</v>
      </c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4"/>
    </row>
    <row r="9" spans="1:84" x14ac:dyDescent="0.2">
      <c r="A9" s="130" t="s">
        <v>430</v>
      </c>
      <c r="C9" s="134" t="s">
        <v>633</v>
      </c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 t="s">
        <v>634</v>
      </c>
      <c r="AM9" s="134"/>
      <c r="AN9" s="134" t="s">
        <v>635</v>
      </c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4"/>
    </row>
    <row r="10" spans="1:84" x14ac:dyDescent="0.2">
      <c r="A10" s="130" t="s">
        <v>431</v>
      </c>
      <c r="C10" s="134" t="s">
        <v>636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 t="s">
        <v>637</v>
      </c>
      <c r="AM10" s="134"/>
      <c r="AN10" s="134" t="s">
        <v>638</v>
      </c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</row>
    <row r="11" spans="1:84" x14ac:dyDescent="0.2">
      <c r="A11" s="130" t="s">
        <v>432</v>
      </c>
      <c r="C11" s="134" t="s">
        <v>639</v>
      </c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 t="s">
        <v>640</v>
      </c>
      <c r="AM11" s="134"/>
      <c r="AN11" s="134" t="s">
        <v>641</v>
      </c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4"/>
    </row>
    <row r="12" spans="1:84" x14ac:dyDescent="0.2">
      <c r="A12" s="130" t="s">
        <v>435</v>
      </c>
      <c r="C12" s="134" t="s">
        <v>642</v>
      </c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 t="s">
        <v>643</v>
      </c>
      <c r="AM12" s="134"/>
      <c r="AN12" s="134" t="s">
        <v>644</v>
      </c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</row>
    <row r="13" spans="1:84" x14ac:dyDescent="0.2">
      <c r="A13" s="130" t="s">
        <v>442</v>
      </c>
      <c r="C13" s="134" t="s">
        <v>645</v>
      </c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 t="s">
        <v>646</v>
      </c>
      <c r="AM13" s="134"/>
      <c r="AN13" s="134" t="s">
        <v>647</v>
      </c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4"/>
      <c r="CF13" s="134"/>
    </row>
    <row r="14" spans="1:84" x14ac:dyDescent="0.2">
      <c r="A14" s="130" t="s">
        <v>444</v>
      </c>
      <c r="C14" s="134" t="s">
        <v>648</v>
      </c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 t="s">
        <v>649</v>
      </c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4"/>
      <c r="CD14" s="134"/>
      <c r="CE14" s="134"/>
      <c r="CF14" s="134"/>
    </row>
    <row r="15" spans="1:84" x14ac:dyDescent="0.2">
      <c r="A15" s="130" t="s">
        <v>446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 t="s">
        <v>650</v>
      </c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4"/>
      <c r="CD15" s="134"/>
      <c r="CE15" s="134"/>
      <c r="CF15" s="134"/>
    </row>
    <row r="16" spans="1:84" x14ac:dyDescent="0.2">
      <c r="A16" s="130" t="s">
        <v>447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 t="s">
        <v>651</v>
      </c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  <c r="CD16" s="134"/>
      <c r="CE16" s="134"/>
      <c r="CF16" s="134"/>
    </row>
    <row r="17" spans="1:84" x14ac:dyDescent="0.2">
      <c r="A17" s="130" t="s">
        <v>449</v>
      </c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4"/>
      <c r="CD17" s="134"/>
      <c r="CE17" s="134"/>
      <c r="CF17" s="134"/>
    </row>
    <row r="18" spans="1:84" x14ac:dyDescent="0.2">
      <c r="A18" s="130" t="s">
        <v>450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4"/>
    </row>
    <row r="19" spans="1:84" x14ac:dyDescent="0.2">
      <c r="A19" s="130" t="s">
        <v>451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4"/>
      <c r="CF19" s="134"/>
    </row>
    <row r="20" spans="1:84" x14ac:dyDescent="0.2">
      <c r="A20" s="130" t="s">
        <v>452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4"/>
      <c r="CD20" s="134"/>
      <c r="CE20" s="134"/>
      <c r="CF20" s="134"/>
    </row>
    <row r="21" spans="1:84" x14ac:dyDescent="0.2">
      <c r="A21" s="130" t="s">
        <v>454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</row>
    <row r="22" spans="1:84" x14ac:dyDescent="0.2">
      <c r="A22" s="130" t="s">
        <v>455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  <c r="CC22" s="134"/>
      <c r="CD22" s="134"/>
      <c r="CE22" s="134"/>
      <c r="CF22" s="134"/>
    </row>
    <row r="23" spans="1:84" x14ac:dyDescent="0.2">
      <c r="A23" s="130" t="s">
        <v>457</v>
      </c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  <c r="CC23" s="134"/>
      <c r="CD23" s="134"/>
      <c r="CE23" s="134"/>
      <c r="CF23" s="134"/>
    </row>
    <row r="24" spans="1:84" x14ac:dyDescent="0.2">
      <c r="A24" s="130" t="s">
        <v>459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</row>
    <row r="25" spans="1:84" x14ac:dyDescent="0.2">
      <c r="A25" s="130" t="s">
        <v>460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134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  <c r="CC25" s="134"/>
      <c r="CD25" s="134"/>
      <c r="CE25" s="134"/>
      <c r="CF25" s="134"/>
    </row>
    <row r="26" spans="1:84" x14ac:dyDescent="0.2">
      <c r="A26" s="130" t="s">
        <v>461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4"/>
      <c r="CF26" s="134"/>
    </row>
    <row r="27" spans="1:84" x14ac:dyDescent="0.2">
      <c r="A27" s="130" t="s">
        <v>463</v>
      </c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4"/>
      <c r="CF27" s="134"/>
    </row>
    <row r="28" spans="1:84" x14ac:dyDescent="0.2">
      <c r="A28" s="130" t="s">
        <v>465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4"/>
      <c r="CF28" s="134"/>
    </row>
    <row r="29" spans="1:84" x14ac:dyDescent="0.2">
      <c r="A29" s="130" t="s">
        <v>467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  <c r="CC29" s="134"/>
      <c r="CD29" s="134"/>
      <c r="CE29" s="134"/>
      <c r="CF29" s="134"/>
    </row>
    <row r="30" spans="1:84" x14ac:dyDescent="0.2">
      <c r="A30" s="130" t="s">
        <v>468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4"/>
    </row>
    <row r="31" spans="1:84" x14ac:dyDescent="0.2">
      <c r="A31" s="130" t="s">
        <v>469</v>
      </c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4"/>
      <c r="CD31" s="134"/>
      <c r="CE31" s="134"/>
      <c r="CF31" s="134"/>
    </row>
    <row r="32" spans="1:84" x14ac:dyDescent="0.2">
      <c r="A32" s="130" t="s">
        <v>471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4"/>
      <c r="CF32" s="134"/>
    </row>
    <row r="33" spans="1:84" x14ac:dyDescent="0.2">
      <c r="A33" s="130" t="s">
        <v>475</v>
      </c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4"/>
    </row>
    <row r="34" spans="1:84" x14ac:dyDescent="0.2">
      <c r="A34" s="130" t="s">
        <v>477</v>
      </c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</row>
    <row r="35" spans="1:84" x14ac:dyDescent="0.2">
      <c r="A35" s="130" t="s">
        <v>479</v>
      </c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4"/>
    </row>
    <row r="36" spans="1:84" x14ac:dyDescent="0.2">
      <c r="A36" s="130" t="s">
        <v>482</v>
      </c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4"/>
    </row>
    <row r="37" spans="1:84" x14ac:dyDescent="0.2">
      <c r="A37" s="130" t="s">
        <v>484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4"/>
    </row>
    <row r="38" spans="1:84" x14ac:dyDescent="0.2">
      <c r="A38" s="130" t="s">
        <v>486</v>
      </c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4"/>
      <c r="CF38" s="134"/>
    </row>
    <row r="39" spans="1:84" x14ac:dyDescent="0.2">
      <c r="A39" s="130" t="s">
        <v>490</v>
      </c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4"/>
      <c r="CF39" s="134"/>
    </row>
    <row r="40" spans="1:84" x14ac:dyDescent="0.2">
      <c r="A40" s="130" t="s">
        <v>492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4"/>
      <c r="CF40" s="134"/>
    </row>
    <row r="41" spans="1:84" x14ac:dyDescent="0.2">
      <c r="A41" s="130" t="s">
        <v>494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134"/>
      <c r="BQ41" s="134"/>
      <c r="BR41" s="134"/>
      <c r="BS41" s="134"/>
      <c r="BT41" s="134"/>
      <c r="BU41" s="134"/>
      <c r="BV41" s="134"/>
      <c r="BW41" s="134"/>
      <c r="BX41" s="134"/>
      <c r="BY41" s="134"/>
      <c r="BZ41" s="134"/>
      <c r="CA41" s="134"/>
      <c r="CB41" s="134"/>
      <c r="CC41" s="134"/>
      <c r="CD41" s="134"/>
      <c r="CE41" s="134"/>
      <c r="CF41" s="134"/>
    </row>
    <row r="42" spans="1:84" x14ac:dyDescent="0.2">
      <c r="A42" s="130" t="s">
        <v>496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4"/>
      <c r="BO42" s="134"/>
      <c r="BP42" s="134"/>
      <c r="BQ42" s="134"/>
      <c r="BR42" s="134"/>
      <c r="BS42" s="134"/>
      <c r="BT42" s="134"/>
      <c r="BU42" s="134"/>
      <c r="BV42" s="134"/>
      <c r="BW42" s="134"/>
      <c r="BX42" s="134"/>
      <c r="BY42" s="134"/>
      <c r="BZ42" s="134"/>
      <c r="CA42" s="134"/>
      <c r="CB42" s="134"/>
      <c r="CC42" s="134"/>
      <c r="CD42" s="134"/>
      <c r="CE42" s="134"/>
      <c r="CF42" s="134"/>
    </row>
    <row r="43" spans="1:84" x14ac:dyDescent="0.2">
      <c r="A43" s="130" t="s">
        <v>498</v>
      </c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4"/>
      <c r="BO43" s="134"/>
      <c r="BP43" s="134"/>
      <c r="BQ43" s="134"/>
      <c r="BR43" s="134"/>
      <c r="BS43" s="134"/>
      <c r="BT43" s="134"/>
      <c r="BU43" s="134"/>
      <c r="BV43" s="134"/>
      <c r="BW43" s="134"/>
      <c r="BX43" s="134"/>
      <c r="BY43" s="134"/>
      <c r="BZ43" s="134"/>
      <c r="CA43" s="134"/>
      <c r="CB43" s="134"/>
      <c r="CC43" s="134"/>
      <c r="CD43" s="134"/>
      <c r="CE43" s="134"/>
      <c r="CF43" s="134"/>
    </row>
    <row r="44" spans="1:84" x14ac:dyDescent="0.2">
      <c r="A44" s="130" t="s">
        <v>500</v>
      </c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134"/>
      <c r="BR44" s="134"/>
      <c r="BS44" s="134"/>
      <c r="BT44" s="134"/>
      <c r="BU44" s="134"/>
      <c r="BV44" s="134"/>
      <c r="BW44" s="134"/>
      <c r="BX44" s="134"/>
      <c r="BY44" s="134"/>
      <c r="BZ44" s="134"/>
      <c r="CA44" s="134"/>
      <c r="CB44" s="134"/>
      <c r="CC44" s="134"/>
      <c r="CD44" s="134"/>
      <c r="CE44" s="134"/>
      <c r="CF44" s="134"/>
    </row>
    <row r="45" spans="1:84" x14ac:dyDescent="0.2">
      <c r="A45" s="130" t="s">
        <v>503</v>
      </c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4"/>
      <c r="BO45" s="134"/>
      <c r="BP45" s="134"/>
      <c r="BQ45" s="134"/>
      <c r="BR45" s="134"/>
      <c r="BS45" s="134"/>
      <c r="BT45" s="134"/>
      <c r="BU45" s="134"/>
      <c r="BV45" s="134"/>
      <c r="BW45" s="134"/>
      <c r="BX45" s="134"/>
      <c r="BY45" s="134"/>
      <c r="BZ45" s="134"/>
      <c r="CA45" s="134"/>
      <c r="CB45" s="134"/>
      <c r="CC45" s="134"/>
      <c r="CD45" s="134"/>
      <c r="CE45" s="134"/>
      <c r="CF45" s="134"/>
    </row>
    <row r="46" spans="1:84" x14ac:dyDescent="0.2">
      <c r="A46" s="130" t="s">
        <v>505</v>
      </c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4"/>
      <c r="CD46" s="134"/>
      <c r="CE46" s="134"/>
      <c r="CF46" s="134"/>
    </row>
    <row r="47" spans="1:84" x14ac:dyDescent="0.2">
      <c r="A47" s="130" t="s">
        <v>508</v>
      </c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  <c r="CC47" s="134"/>
      <c r="CD47" s="134"/>
      <c r="CE47" s="134"/>
      <c r="CF47" s="134"/>
    </row>
    <row r="48" spans="1:84" x14ac:dyDescent="0.2">
      <c r="A48" s="130" t="s">
        <v>509</v>
      </c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4"/>
      <c r="CD48" s="134"/>
      <c r="CE48" s="134"/>
      <c r="CF48" s="134"/>
    </row>
    <row r="49" spans="1:84" x14ac:dyDescent="0.2">
      <c r="A49" s="130" t="s">
        <v>511</v>
      </c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  <c r="CC49" s="134"/>
      <c r="CD49" s="134"/>
      <c r="CE49" s="134"/>
      <c r="CF49" s="134"/>
    </row>
    <row r="50" spans="1:84" x14ac:dyDescent="0.2">
      <c r="A50" s="130" t="s">
        <v>513</v>
      </c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4"/>
    </row>
    <row r="51" spans="1:84" x14ac:dyDescent="0.2">
      <c r="A51" s="130" t="s">
        <v>514</v>
      </c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  <c r="CC51" s="134"/>
      <c r="CD51" s="134"/>
      <c r="CE51" s="134"/>
      <c r="CF51" s="134"/>
    </row>
    <row r="52" spans="1:84" x14ac:dyDescent="0.2">
      <c r="A52" s="130" t="s">
        <v>515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4"/>
    </row>
    <row r="53" spans="1:84" x14ac:dyDescent="0.2">
      <c r="A53" s="130" t="s">
        <v>517</v>
      </c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4"/>
      <c r="CD53" s="134"/>
      <c r="CE53" s="134"/>
      <c r="CF53" s="134"/>
    </row>
    <row r="54" spans="1:84" x14ac:dyDescent="0.2">
      <c r="A54" s="130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4"/>
    </row>
    <row r="55" spans="1:84" x14ac:dyDescent="0.2">
      <c r="A55" s="130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4"/>
      <c r="CD55" s="134"/>
      <c r="CE55" s="134"/>
      <c r="CF55" s="134"/>
    </row>
    <row r="56" spans="1:84" x14ac:dyDescent="0.2">
      <c r="A56" s="130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4"/>
    </row>
    <row r="57" spans="1:84" x14ac:dyDescent="0.2">
      <c r="A57" s="130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</row>
    <row r="58" spans="1:84" x14ac:dyDescent="0.2">
      <c r="A58" s="1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</row>
    <row r="59" spans="1:84" x14ac:dyDescent="0.2">
      <c r="A59" s="13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</row>
    <row r="60" spans="1:84" x14ac:dyDescent="0.2">
      <c r="A60" s="13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</row>
    <row r="61" spans="1:84" x14ac:dyDescent="0.2">
      <c r="A61" s="130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</row>
    <row r="62" spans="1:84" x14ac:dyDescent="0.2">
      <c r="A62" s="1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</row>
    <row r="63" spans="1:84" x14ac:dyDescent="0.2">
      <c r="A63" s="13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</row>
    <row r="64" spans="1:84" x14ac:dyDescent="0.2">
      <c r="A64" s="13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</row>
    <row r="65" spans="1:84" x14ac:dyDescent="0.2">
      <c r="A65" s="13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</row>
    <row r="66" spans="1:84" x14ac:dyDescent="0.2">
      <c r="A66" s="130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</row>
    <row r="67" spans="1:84" x14ac:dyDescent="0.2">
      <c r="A67" s="130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</row>
    <row r="68" spans="1:84" x14ac:dyDescent="0.2">
      <c r="A68" s="1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</row>
    <row r="69" spans="1:84" x14ac:dyDescent="0.2">
      <c r="A69" s="130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</row>
    <row r="70" spans="1:84" x14ac:dyDescent="0.2">
      <c r="A70" s="1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</row>
    <row r="71" spans="1:84" x14ac:dyDescent="0.2">
      <c r="A71" s="130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</row>
    <row r="72" spans="1:84" x14ac:dyDescent="0.2">
      <c r="A72" s="1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</row>
    <row r="73" spans="1:84" x14ac:dyDescent="0.2">
      <c r="A73" s="1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</row>
    <row r="74" spans="1:84" x14ac:dyDescent="0.2">
      <c r="A74" s="130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</row>
    <row r="75" spans="1:84" x14ac:dyDescent="0.2">
      <c r="A75" s="130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</row>
    <row r="76" spans="1:84" x14ac:dyDescent="0.2">
      <c r="A76" s="130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</row>
    <row r="77" spans="1:84" x14ac:dyDescent="0.2">
      <c r="A77" s="130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</row>
    <row r="78" spans="1:84" x14ac:dyDescent="0.2">
      <c r="A78" s="130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</row>
    <row r="79" spans="1:84" x14ac:dyDescent="0.2">
      <c r="A79" s="130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</row>
    <row r="80" spans="1:84" x14ac:dyDescent="0.2">
      <c r="A80" s="130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</row>
    <row r="81" spans="1:84" x14ac:dyDescent="0.2">
      <c r="A81" s="130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</row>
    <row r="82" spans="1:84" x14ac:dyDescent="0.2">
      <c r="A82" s="130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</row>
    <row r="83" spans="1:84" x14ac:dyDescent="0.2">
      <c r="A83" s="130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</row>
    <row r="84" spans="1:84" x14ac:dyDescent="0.2"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</row>
    <row r="85" spans="1:84" x14ac:dyDescent="0.2"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</row>
    <row r="86" spans="1:84" x14ac:dyDescent="0.2"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</row>
    <row r="87" spans="1:84" x14ac:dyDescent="0.2">
      <c r="A87" s="1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</row>
    <row r="88" spans="1:84" x14ac:dyDescent="0.2">
      <c r="A88" s="1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</row>
    <row r="89" spans="1:84" x14ac:dyDescent="0.2">
      <c r="A89" s="1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</row>
    <row r="90" spans="1:84" x14ac:dyDescent="0.2">
      <c r="A90" s="1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</row>
    <row r="91" spans="1:84" x14ac:dyDescent="0.2">
      <c r="A91" s="1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</row>
    <row r="92" spans="1:84" x14ac:dyDescent="0.2">
      <c r="A92" s="1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</row>
    <row r="93" spans="1:84" x14ac:dyDescent="0.2">
      <c r="A93" s="1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</row>
    <row r="94" spans="1:84" x14ac:dyDescent="0.2">
      <c r="A94" s="1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</row>
    <row r="95" spans="1:84" x14ac:dyDescent="0.2">
      <c r="A95" s="1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</row>
    <row r="96" spans="1:84" x14ac:dyDescent="0.2">
      <c r="A96" s="1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</row>
    <row r="97" spans="1:84" x14ac:dyDescent="0.2">
      <c r="A97" s="1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</row>
    <row r="98" spans="1:84" x14ac:dyDescent="0.2">
      <c r="A98" s="1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</row>
    <row r="99" spans="1:84" x14ac:dyDescent="0.2">
      <c r="A99" s="1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</row>
    <row r="100" spans="1:84" x14ac:dyDescent="0.2">
      <c r="A100" s="1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</row>
    <row r="101" spans="1:84" x14ac:dyDescent="0.2">
      <c r="A101" s="1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</row>
    <row r="102" spans="1:84" x14ac:dyDescent="0.2">
      <c r="A102" s="1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</row>
    <row r="103" spans="1:84" x14ac:dyDescent="0.2">
      <c r="A103" s="1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</row>
    <row r="104" spans="1:84" x14ac:dyDescent="0.2">
      <c r="A104" s="1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</row>
    <row r="105" spans="1:84" x14ac:dyDescent="0.2">
      <c r="A105" s="1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</row>
    <row r="106" spans="1:84" x14ac:dyDescent="0.2">
      <c r="A106" s="1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</row>
    <row r="107" spans="1:84" x14ac:dyDescent="0.2">
      <c r="A107" s="1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</row>
    <row r="108" spans="1:84" x14ac:dyDescent="0.2">
      <c r="A108" s="1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</row>
    <row r="109" spans="1:84" x14ac:dyDescent="0.2">
      <c r="A109" s="1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</row>
    <row r="110" spans="1:84" x14ac:dyDescent="0.2">
      <c r="A110" s="1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</row>
    <row r="111" spans="1:84" x14ac:dyDescent="0.2">
      <c r="A111" s="1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</row>
    <row r="112" spans="1:84" x14ac:dyDescent="0.2">
      <c r="A112" s="1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</row>
    <row r="113" spans="1:84" x14ac:dyDescent="0.2">
      <c r="A113" s="1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</row>
    <row r="114" spans="1:84" x14ac:dyDescent="0.2">
      <c r="A114" s="1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</row>
    <row r="115" spans="1:84" x14ac:dyDescent="0.2">
      <c r="A115" s="1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</row>
    <row r="116" spans="1:84" x14ac:dyDescent="0.2">
      <c r="A116" s="1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</row>
    <row r="117" spans="1:84" x14ac:dyDescent="0.2">
      <c r="A117" s="1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</row>
    <row r="118" spans="1:84" x14ac:dyDescent="0.2">
      <c r="A118" s="1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</row>
    <row r="119" spans="1:84" x14ac:dyDescent="0.2">
      <c r="A119" s="1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</row>
    <row r="120" spans="1:84" x14ac:dyDescent="0.2">
      <c r="A120" s="1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</row>
    <row r="121" spans="1:84" x14ac:dyDescent="0.2">
      <c r="A121" s="1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</row>
    <row r="122" spans="1:84" x14ac:dyDescent="0.2">
      <c r="A122" s="1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</row>
    <row r="123" spans="1:84" x14ac:dyDescent="0.2">
      <c r="A123" s="131"/>
    </row>
    <row r="124" spans="1:84" x14ac:dyDescent="0.2">
      <c r="A124" s="131"/>
    </row>
    <row r="125" spans="1:84" x14ac:dyDescent="0.2">
      <c r="A125" s="131"/>
    </row>
    <row r="126" spans="1:84" x14ac:dyDescent="0.2">
      <c r="A126" s="131"/>
    </row>
    <row r="127" spans="1:84" x14ac:dyDescent="0.2">
      <c r="A127" s="131"/>
    </row>
    <row r="128" spans="1:84" x14ac:dyDescent="0.2">
      <c r="A128" s="131"/>
    </row>
    <row r="129" spans="1:1" x14ac:dyDescent="0.2">
      <c r="A129" s="131"/>
    </row>
    <row r="130" spans="1:1" x14ac:dyDescent="0.2">
      <c r="A130" s="131"/>
    </row>
    <row r="131" spans="1:1" x14ac:dyDescent="0.2">
      <c r="A131" s="131"/>
    </row>
    <row r="132" spans="1:1" x14ac:dyDescent="0.2">
      <c r="A132" s="131"/>
    </row>
    <row r="133" spans="1:1" x14ac:dyDescent="0.2">
      <c r="A133" s="131"/>
    </row>
    <row r="134" spans="1:1" x14ac:dyDescent="0.2">
      <c r="A134" s="131"/>
    </row>
    <row r="135" spans="1:1" x14ac:dyDescent="0.2">
      <c r="A135" s="131"/>
    </row>
    <row r="136" spans="1:1" x14ac:dyDescent="0.2">
      <c r="A136" s="131"/>
    </row>
    <row r="137" spans="1:1" x14ac:dyDescent="0.2">
      <c r="A137" s="131"/>
    </row>
    <row r="138" spans="1:1" x14ac:dyDescent="0.2">
      <c r="A138" s="131"/>
    </row>
    <row r="139" spans="1:1" x14ac:dyDescent="0.2">
      <c r="A139" s="131"/>
    </row>
    <row r="140" spans="1:1" x14ac:dyDescent="0.2">
      <c r="A140" s="131"/>
    </row>
    <row r="141" spans="1:1" x14ac:dyDescent="0.2">
      <c r="A141" s="131"/>
    </row>
    <row r="142" spans="1:1" x14ac:dyDescent="0.2">
      <c r="A142" s="131"/>
    </row>
    <row r="143" spans="1:1" x14ac:dyDescent="0.2">
      <c r="A143" s="131"/>
    </row>
    <row r="144" spans="1:1" x14ac:dyDescent="0.2">
      <c r="A144" s="131"/>
    </row>
    <row r="145" spans="1:1" x14ac:dyDescent="0.2">
      <c r="A145" s="131"/>
    </row>
    <row r="146" spans="1:1" x14ac:dyDescent="0.2">
      <c r="A146" s="131"/>
    </row>
    <row r="147" spans="1:1" x14ac:dyDescent="0.2">
      <c r="A147" s="131"/>
    </row>
    <row r="148" spans="1:1" x14ac:dyDescent="0.2">
      <c r="A148" s="131"/>
    </row>
    <row r="149" spans="1:1" x14ac:dyDescent="0.2">
      <c r="A149" s="131"/>
    </row>
    <row r="150" spans="1:1" x14ac:dyDescent="0.2">
      <c r="A150" s="131"/>
    </row>
    <row r="151" spans="1:1" x14ac:dyDescent="0.2">
      <c r="A151" s="131"/>
    </row>
    <row r="152" spans="1:1" x14ac:dyDescent="0.2">
      <c r="A152" s="131"/>
    </row>
    <row r="153" spans="1:1" x14ac:dyDescent="0.2">
      <c r="A153" s="131"/>
    </row>
    <row r="154" spans="1:1" x14ac:dyDescent="0.2">
      <c r="A154" s="131"/>
    </row>
    <row r="155" spans="1:1" x14ac:dyDescent="0.2">
      <c r="A155" s="131"/>
    </row>
    <row r="156" spans="1:1" x14ac:dyDescent="0.2">
      <c r="A156" s="131"/>
    </row>
    <row r="157" spans="1:1" x14ac:dyDescent="0.2">
      <c r="A157" s="131"/>
    </row>
    <row r="158" spans="1:1" x14ac:dyDescent="0.2">
      <c r="A158" s="131"/>
    </row>
    <row r="159" spans="1:1" x14ac:dyDescent="0.2">
      <c r="A159" s="131"/>
    </row>
    <row r="160" spans="1:1" x14ac:dyDescent="0.2">
      <c r="A160" s="131"/>
    </row>
    <row r="161" spans="1:1" x14ac:dyDescent="0.2">
      <c r="A161" s="131"/>
    </row>
    <row r="162" spans="1:1" x14ac:dyDescent="0.2">
      <c r="A162" s="131"/>
    </row>
    <row r="163" spans="1:1" x14ac:dyDescent="0.2">
      <c r="A163" s="131"/>
    </row>
    <row r="164" spans="1:1" x14ac:dyDescent="0.2">
      <c r="A164" s="131"/>
    </row>
    <row r="165" spans="1:1" x14ac:dyDescent="0.2">
      <c r="A165" s="131"/>
    </row>
    <row r="166" spans="1:1" x14ac:dyDescent="0.2">
      <c r="A166" s="131"/>
    </row>
    <row r="167" spans="1:1" x14ac:dyDescent="0.2">
      <c r="A167" s="131"/>
    </row>
    <row r="168" spans="1:1" x14ac:dyDescent="0.2">
      <c r="A168" s="131"/>
    </row>
    <row r="169" spans="1:1" x14ac:dyDescent="0.2">
      <c r="A169" s="131"/>
    </row>
    <row r="170" spans="1:1" x14ac:dyDescent="0.2">
      <c r="A170" s="131"/>
    </row>
    <row r="171" spans="1:1" x14ac:dyDescent="0.2">
      <c r="A171" s="131"/>
    </row>
    <row r="172" spans="1:1" x14ac:dyDescent="0.2">
      <c r="A172" s="131"/>
    </row>
    <row r="173" spans="1:1" x14ac:dyDescent="0.2">
      <c r="A173" s="131"/>
    </row>
    <row r="174" spans="1:1" x14ac:dyDescent="0.2">
      <c r="A174" s="131"/>
    </row>
    <row r="175" spans="1:1" x14ac:dyDescent="0.2">
      <c r="A175" s="131"/>
    </row>
    <row r="176" spans="1:1" x14ac:dyDescent="0.2">
      <c r="A176" s="131"/>
    </row>
    <row r="177" spans="1:1" x14ac:dyDescent="0.2">
      <c r="A177" s="131"/>
    </row>
    <row r="178" spans="1:1" x14ac:dyDescent="0.2">
      <c r="A178" s="131"/>
    </row>
    <row r="179" spans="1:1" x14ac:dyDescent="0.2">
      <c r="A179" s="131"/>
    </row>
    <row r="180" spans="1:1" x14ac:dyDescent="0.2">
      <c r="A180" s="131"/>
    </row>
    <row r="181" spans="1:1" x14ac:dyDescent="0.2">
      <c r="A181" s="131"/>
    </row>
    <row r="182" spans="1:1" x14ac:dyDescent="0.2">
      <c r="A182" s="131"/>
    </row>
    <row r="183" spans="1:1" x14ac:dyDescent="0.2">
      <c r="A183" s="131"/>
    </row>
    <row r="184" spans="1:1" x14ac:dyDescent="0.2">
      <c r="A184" s="131"/>
    </row>
    <row r="185" spans="1:1" x14ac:dyDescent="0.2">
      <c r="A185" s="131"/>
    </row>
    <row r="186" spans="1:1" x14ac:dyDescent="0.2">
      <c r="A186" s="131"/>
    </row>
    <row r="187" spans="1:1" x14ac:dyDescent="0.2">
      <c r="A187" s="131"/>
    </row>
    <row r="188" spans="1:1" x14ac:dyDescent="0.2">
      <c r="A188" s="131"/>
    </row>
    <row r="189" spans="1:1" x14ac:dyDescent="0.2">
      <c r="A189" s="131"/>
    </row>
    <row r="190" spans="1:1" x14ac:dyDescent="0.2">
      <c r="A190" s="131"/>
    </row>
    <row r="191" spans="1:1" x14ac:dyDescent="0.2">
      <c r="A191" s="131"/>
    </row>
    <row r="192" spans="1:1" x14ac:dyDescent="0.2">
      <c r="A192" s="131"/>
    </row>
    <row r="193" spans="1:1" x14ac:dyDescent="0.2">
      <c r="A193" s="131"/>
    </row>
    <row r="194" spans="1:1" x14ac:dyDescent="0.2">
      <c r="A194" s="131"/>
    </row>
    <row r="195" spans="1:1" x14ac:dyDescent="0.2">
      <c r="A195" s="131"/>
    </row>
    <row r="196" spans="1:1" x14ac:dyDescent="0.2">
      <c r="A196" s="131"/>
    </row>
    <row r="197" spans="1:1" x14ac:dyDescent="0.2">
      <c r="A197" s="131"/>
    </row>
    <row r="198" spans="1:1" x14ac:dyDescent="0.2">
      <c r="A198" s="131"/>
    </row>
    <row r="199" spans="1:1" x14ac:dyDescent="0.2">
      <c r="A199" s="131"/>
    </row>
    <row r="200" spans="1:1" x14ac:dyDescent="0.2">
      <c r="A200" s="131"/>
    </row>
    <row r="201" spans="1:1" x14ac:dyDescent="0.2">
      <c r="A201" s="131"/>
    </row>
    <row r="202" spans="1:1" x14ac:dyDescent="0.2">
      <c r="A202" s="131"/>
    </row>
    <row r="203" spans="1:1" x14ac:dyDescent="0.2">
      <c r="A203" s="131"/>
    </row>
    <row r="204" spans="1:1" x14ac:dyDescent="0.2">
      <c r="A204" s="131"/>
    </row>
    <row r="205" spans="1:1" x14ac:dyDescent="0.2">
      <c r="A205" s="131"/>
    </row>
    <row r="206" spans="1:1" x14ac:dyDescent="0.2">
      <c r="A206" s="131"/>
    </row>
    <row r="207" spans="1:1" x14ac:dyDescent="0.2">
      <c r="A207" s="131"/>
    </row>
    <row r="208" spans="1:1" x14ac:dyDescent="0.2">
      <c r="A208" s="131"/>
    </row>
    <row r="209" spans="1:1" x14ac:dyDescent="0.2">
      <c r="A209" s="131"/>
    </row>
    <row r="210" spans="1:1" x14ac:dyDescent="0.2">
      <c r="A210" s="131"/>
    </row>
    <row r="211" spans="1:1" x14ac:dyDescent="0.2">
      <c r="A211" s="131"/>
    </row>
    <row r="212" spans="1:1" x14ac:dyDescent="0.2">
      <c r="A212" s="131"/>
    </row>
    <row r="213" spans="1:1" x14ac:dyDescent="0.2">
      <c r="A213" s="131"/>
    </row>
    <row r="214" spans="1:1" x14ac:dyDescent="0.2">
      <c r="A214" s="131"/>
    </row>
    <row r="215" spans="1:1" x14ac:dyDescent="0.2">
      <c r="A215" s="131"/>
    </row>
    <row r="216" spans="1:1" x14ac:dyDescent="0.2">
      <c r="A216" s="131"/>
    </row>
    <row r="217" spans="1:1" x14ac:dyDescent="0.2">
      <c r="A217" s="131"/>
    </row>
    <row r="218" spans="1:1" x14ac:dyDescent="0.2">
      <c r="A218" s="131"/>
    </row>
    <row r="219" spans="1:1" x14ac:dyDescent="0.2">
      <c r="A219" s="131"/>
    </row>
    <row r="220" spans="1:1" x14ac:dyDescent="0.2">
      <c r="A220" s="131"/>
    </row>
    <row r="221" spans="1:1" x14ac:dyDescent="0.2">
      <c r="A221" s="131"/>
    </row>
    <row r="222" spans="1:1" x14ac:dyDescent="0.2">
      <c r="A222" s="131"/>
    </row>
    <row r="223" spans="1:1" x14ac:dyDescent="0.2">
      <c r="A223" s="131"/>
    </row>
    <row r="224" spans="1:1" x14ac:dyDescent="0.2">
      <c r="A224" s="131"/>
    </row>
    <row r="225" spans="1:1" x14ac:dyDescent="0.2">
      <c r="A225" s="131"/>
    </row>
    <row r="226" spans="1:1" x14ac:dyDescent="0.2">
      <c r="A226" s="131"/>
    </row>
    <row r="227" spans="1:1" x14ac:dyDescent="0.2">
      <c r="A227" s="131"/>
    </row>
    <row r="228" spans="1:1" x14ac:dyDescent="0.2">
      <c r="A228" s="131"/>
    </row>
    <row r="229" spans="1:1" x14ac:dyDescent="0.2">
      <c r="A229" s="131"/>
    </row>
    <row r="230" spans="1:1" x14ac:dyDescent="0.2">
      <c r="A230" s="131"/>
    </row>
    <row r="231" spans="1:1" x14ac:dyDescent="0.2">
      <c r="A231" s="131"/>
    </row>
    <row r="232" spans="1:1" x14ac:dyDescent="0.2">
      <c r="A232" s="131"/>
    </row>
    <row r="233" spans="1:1" x14ac:dyDescent="0.2">
      <c r="A233" s="131"/>
    </row>
    <row r="234" spans="1:1" x14ac:dyDescent="0.2">
      <c r="A234" s="131"/>
    </row>
    <row r="235" spans="1:1" x14ac:dyDescent="0.2">
      <c r="A235" s="131"/>
    </row>
    <row r="236" spans="1:1" x14ac:dyDescent="0.2">
      <c r="A236" s="131"/>
    </row>
    <row r="237" spans="1:1" x14ac:dyDescent="0.2">
      <c r="A237" s="131"/>
    </row>
    <row r="238" spans="1:1" x14ac:dyDescent="0.2">
      <c r="A238" s="131"/>
    </row>
    <row r="239" spans="1:1" x14ac:dyDescent="0.2">
      <c r="A239" s="131"/>
    </row>
    <row r="240" spans="1:1" x14ac:dyDescent="0.2">
      <c r="A240" s="131"/>
    </row>
    <row r="241" spans="1:1" x14ac:dyDescent="0.2">
      <c r="A241" s="131"/>
    </row>
    <row r="242" spans="1:1" x14ac:dyDescent="0.2">
      <c r="A242" s="131"/>
    </row>
    <row r="243" spans="1:1" x14ac:dyDescent="0.2">
      <c r="A243" s="131"/>
    </row>
    <row r="244" spans="1:1" x14ac:dyDescent="0.2">
      <c r="A244" s="131"/>
    </row>
    <row r="245" spans="1:1" x14ac:dyDescent="0.2">
      <c r="A245" s="131"/>
    </row>
    <row r="246" spans="1:1" x14ac:dyDescent="0.2">
      <c r="A246" s="131"/>
    </row>
    <row r="247" spans="1:1" x14ac:dyDescent="0.2">
      <c r="A247" s="131"/>
    </row>
    <row r="248" spans="1:1" x14ac:dyDescent="0.2">
      <c r="A248" s="131"/>
    </row>
    <row r="249" spans="1:1" x14ac:dyDescent="0.2">
      <c r="A249" s="131"/>
    </row>
    <row r="250" spans="1:1" x14ac:dyDescent="0.2">
      <c r="A250" s="131"/>
    </row>
    <row r="251" spans="1:1" x14ac:dyDescent="0.2">
      <c r="A251" s="131"/>
    </row>
    <row r="252" spans="1:1" x14ac:dyDescent="0.2">
      <c r="A252" s="131"/>
    </row>
    <row r="253" spans="1:1" x14ac:dyDescent="0.2">
      <c r="A253" s="131"/>
    </row>
    <row r="254" spans="1:1" x14ac:dyDescent="0.2">
      <c r="A254" s="131"/>
    </row>
    <row r="255" spans="1:1" x14ac:dyDescent="0.2">
      <c r="A255" s="131"/>
    </row>
    <row r="256" spans="1:1" x14ac:dyDescent="0.2">
      <c r="A256" s="131"/>
    </row>
    <row r="257" spans="1:1" x14ac:dyDescent="0.2">
      <c r="A257" s="131"/>
    </row>
    <row r="258" spans="1:1" x14ac:dyDescent="0.2">
      <c r="A258" s="131"/>
    </row>
    <row r="259" spans="1:1" x14ac:dyDescent="0.2">
      <c r="A259" s="131"/>
    </row>
    <row r="260" spans="1:1" x14ac:dyDescent="0.2">
      <c r="A260" s="131"/>
    </row>
    <row r="261" spans="1:1" x14ac:dyDescent="0.2">
      <c r="A261" s="131"/>
    </row>
    <row r="262" spans="1:1" x14ac:dyDescent="0.2">
      <c r="A262" s="131"/>
    </row>
    <row r="263" spans="1:1" x14ac:dyDescent="0.2">
      <c r="A263" s="131"/>
    </row>
    <row r="264" spans="1:1" x14ac:dyDescent="0.2">
      <c r="A264" s="131"/>
    </row>
    <row r="265" spans="1:1" x14ac:dyDescent="0.2">
      <c r="A265" s="131"/>
    </row>
    <row r="266" spans="1:1" x14ac:dyDescent="0.2">
      <c r="A266" s="131"/>
    </row>
    <row r="267" spans="1:1" x14ac:dyDescent="0.2">
      <c r="A267" s="131"/>
    </row>
    <row r="268" spans="1:1" x14ac:dyDescent="0.2">
      <c r="A268" s="131"/>
    </row>
    <row r="269" spans="1:1" x14ac:dyDescent="0.2">
      <c r="A269" s="131"/>
    </row>
    <row r="270" spans="1:1" x14ac:dyDescent="0.2">
      <c r="A270" s="131"/>
    </row>
    <row r="271" spans="1:1" x14ac:dyDescent="0.2">
      <c r="A271" s="131"/>
    </row>
    <row r="272" spans="1:1" x14ac:dyDescent="0.2">
      <c r="A272" s="131"/>
    </row>
    <row r="273" spans="1:1" x14ac:dyDescent="0.2">
      <c r="A273" s="131"/>
    </row>
    <row r="274" spans="1:1" x14ac:dyDescent="0.2">
      <c r="A274" s="131"/>
    </row>
    <row r="275" spans="1:1" x14ac:dyDescent="0.2">
      <c r="A275" s="131"/>
    </row>
    <row r="276" spans="1:1" x14ac:dyDescent="0.2">
      <c r="A276" s="131"/>
    </row>
    <row r="277" spans="1:1" x14ac:dyDescent="0.2">
      <c r="A277" s="131"/>
    </row>
    <row r="278" spans="1:1" x14ac:dyDescent="0.2">
      <c r="A278" s="131"/>
    </row>
    <row r="279" spans="1:1" x14ac:dyDescent="0.2">
      <c r="A279" s="131"/>
    </row>
    <row r="280" spans="1:1" x14ac:dyDescent="0.2">
      <c r="A280" s="131"/>
    </row>
    <row r="281" spans="1:1" x14ac:dyDescent="0.2">
      <c r="A281" s="131"/>
    </row>
    <row r="282" spans="1:1" x14ac:dyDescent="0.2">
      <c r="A282" s="131"/>
    </row>
    <row r="283" spans="1:1" x14ac:dyDescent="0.2">
      <c r="A283" s="131"/>
    </row>
    <row r="284" spans="1:1" x14ac:dyDescent="0.2">
      <c r="A284" s="131"/>
    </row>
    <row r="285" spans="1:1" x14ac:dyDescent="0.2">
      <c r="A285" s="131"/>
    </row>
    <row r="286" spans="1:1" x14ac:dyDescent="0.2">
      <c r="A286" s="131"/>
    </row>
    <row r="287" spans="1:1" x14ac:dyDescent="0.2">
      <c r="A287" s="131"/>
    </row>
    <row r="288" spans="1:1" x14ac:dyDescent="0.2">
      <c r="A288" s="131"/>
    </row>
    <row r="289" spans="1:1" x14ac:dyDescent="0.2">
      <c r="A289" s="131"/>
    </row>
    <row r="290" spans="1:1" x14ac:dyDescent="0.2">
      <c r="A290" s="131"/>
    </row>
    <row r="291" spans="1:1" x14ac:dyDescent="0.2">
      <c r="A291" s="131"/>
    </row>
    <row r="292" spans="1:1" x14ac:dyDescent="0.2">
      <c r="A292" s="131"/>
    </row>
    <row r="293" spans="1:1" x14ac:dyDescent="0.2">
      <c r="A293" s="131"/>
    </row>
    <row r="294" spans="1:1" x14ac:dyDescent="0.2">
      <c r="A294" s="131"/>
    </row>
    <row r="295" spans="1:1" x14ac:dyDescent="0.2">
      <c r="A295" s="131"/>
    </row>
    <row r="296" spans="1:1" x14ac:dyDescent="0.2">
      <c r="A296" s="131"/>
    </row>
    <row r="297" spans="1:1" x14ac:dyDescent="0.2">
      <c r="A297" s="131"/>
    </row>
    <row r="298" spans="1:1" x14ac:dyDescent="0.2">
      <c r="A298" s="131"/>
    </row>
    <row r="299" spans="1:1" x14ac:dyDescent="0.2">
      <c r="A299" s="131"/>
    </row>
    <row r="300" spans="1:1" x14ac:dyDescent="0.2">
      <c r="A300" s="131"/>
    </row>
    <row r="301" spans="1:1" x14ac:dyDescent="0.2">
      <c r="A301" s="131"/>
    </row>
    <row r="302" spans="1:1" x14ac:dyDescent="0.2">
      <c r="A302" s="131"/>
    </row>
    <row r="303" spans="1:1" x14ac:dyDescent="0.2">
      <c r="A303" s="131"/>
    </row>
    <row r="304" spans="1:1" x14ac:dyDescent="0.2">
      <c r="A304" s="131"/>
    </row>
    <row r="305" spans="1:1" x14ac:dyDescent="0.2">
      <c r="A305" s="131"/>
    </row>
    <row r="306" spans="1:1" x14ac:dyDescent="0.2">
      <c r="A306" s="131"/>
    </row>
    <row r="307" spans="1:1" x14ac:dyDescent="0.2">
      <c r="A307" s="13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K60"/>
  <sheetViews>
    <sheetView showGridLines="0" zoomScale="70" zoomScaleNormal="70" workbookViewId="0">
      <selection activeCell="C20" sqref="C20:F20"/>
    </sheetView>
  </sheetViews>
  <sheetFormatPr defaultColWidth="11" defaultRowHeight="14.25" x14ac:dyDescent="0.2"/>
  <cols>
    <col min="1" max="1" width="16" style="37" customWidth="1"/>
    <col min="2" max="2" width="64.75" style="31" customWidth="1"/>
    <col min="3" max="3" width="15.25" style="37" customWidth="1"/>
    <col min="4" max="7" width="11" style="37"/>
    <col min="8" max="11" width="11" style="31"/>
  </cols>
  <sheetData>
    <row r="1" spans="1:11" x14ac:dyDescent="0.2">
      <c r="A1" s="418" t="s">
        <v>652</v>
      </c>
      <c r="B1" s="419"/>
      <c r="C1" s="415" t="s">
        <v>653</v>
      </c>
      <c r="D1" s="415" t="s">
        <v>654</v>
      </c>
      <c r="E1" s="415"/>
      <c r="F1" s="415"/>
      <c r="G1" s="409" t="s">
        <v>655</v>
      </c>
    </row>
    <row r="2" spans="1:11" x14ac:dyDescent="0.2">
      <c r="A2" s="420"/>
      <c r="B2" s="421"/>
      <c r="C2" s="416"/>
      <c r="D2" s="105">
        <v>1</v>
      </c>
      <c r="E2" s="105">
        <v>2</v>
      </c>
      <c r="F2" s="105">
        <v>3</v>
      </c>
      <c r="G2" s="410"/>
    </row>
    <row r="3" spans="1:11" x14ac:dyDescent="0.2">
      <c r="A3" s="417" t="s">
        <v>24</v>
      </c>
      <c r="B3" s="32" t="s">
        <v>656</v>
      </c>
      <c r="C3" s="120">
        <v>3</v>
      </c>
      <c r="D3" s="33">
        <f>+'Bienes&amp;Servicios'!$C$54/5</f>
        <v>6</v>
      </c>
      <c r="E3" s="33">
        <f>+D3/2</f>
        <v>3</v>
      </c>
      <c r="F3" s="33">
        <v>0</v>
      </c>
      <c r="G3" s="45">
        <f>IF(C3=$D$2,D3,IF(C3=$E$2,E3,IF(C3=$F$2,F3)))</f>
        <v>0</v>
      </c>
    </row>
    <row r="4" spans="1:11" x14ac:dyDescent="0.2">
      <c r="A4" s="417"/>
      <c r="B4" s="32" t="s">
        <v>657</v>
      </c>
      <c r="C4" s="120">
        <v>3</v>
      </c>
      <c r="D4" s="33">
        <f>+'Bienes&amp;Servicios'!$C$54/5</f>
        <v>6</v>
      </c>
      <c r="E4" s="33">
        <f t="shared" ref="E4:E10" si="0">+D4/2</f>
        <v>3</v>
      </c>
      <c r="F4" s="33">
        <v>0</v>
      </c>
      <c r="G4" s="45">
        <f t="shared" ref="G4:G12" si="1">IF(C4=$D$2,D4,IF(C4=$E$2,E4,IF(C4=$F$2,F4)))</f>
        <v>0</v>
      </c>
    </row>
    <row r="5" spans="1:11" x14ac:dyDescent="0.2">
      <c r="A5" s="417"/>
      <c r="B5" s="32" t="s">
        <v>658</v>
      </c>
      <c r="C5" s="120">
        <v>2</v>
      </c>
      <c r="D5" s="33">
        <f>+'Bienes&amp;Servicios'!$C$54/5</f>
        <v>6</v>
      </c>
      <c r="E5" s="33">
        <f t="shared" si="0"/>
        <v>3</v>
      </c>
      <c r="F5" s="33">
        <v>0</v>
      </c>
      <c r="G5" s="45">
        <f t="shared" si="1"/>
        <v>3</v>
      </c>
    </row>
    <row r="6" spans="1:11" x14ac:dyDescent="0.2">
      <c r="A6" s="417"/>
      <c r="B6" s="32" t="s">
        <v>659</v>
      </c>
      <c r="C6" s="120">
        <v>3</v>
      </c>
      <c r="D6" s="33">
        <f>+'Bienes&amp;Servicios'!$C$54/5</f>
        <v>6</v>
      </c>
      <c r="E6" s="33">
        <f t="shared" si="0"/>
        <v>3</v>
      </c>
      <c r="F6" s="33">
        <v>0</v>
      </c>
      <c r="G6" s="45">
        <f t="shared" si="1"/>
        <v>0</v>
      </c>
    </row>
    <row r="7" spans="1:11" x14ac:dyDescent="0.2">
      <c r="A7" s="417"/>
      <c r="B7" s="32" t="s">
        <v>660</v>
      </c>
      <c r="C7" s="120">
        <v>2</v>
      </c>
      <c r="D7" s="33">
        <f>+'Bienes&amp;Servicios'!$C$54/5</f>
        <v>6</v>
      </c>
      <c r="E7" s="33">
        <f t="shared" si="0"/>
        <v>3</v>
      </c>
      <c r="F7" s="33">
        <v>0</v>
      </c>
      <c r="G7" s="45">
        <f t="shared" si="1"/>
        <v>3</v>
      </c>
    </row>
    <row r="8" spans="1:11" ht="15" x14ac:dyDescent="0.2">
      <c r="A8" s="75" t="s">
        <v>34</v>
      </c>
      <c r="B8" s="32" t="s">
        <v>661</v>
      </c>
      <c r="C8" s="120">
        <v>1</v>
      </c>
      <c r="D8" s="35">
        <f>+'Bienes&amp;Servicios'!C55</f>
        <v>30</v>
      </c>
      <c r="E8" s="33">
        <f>+D8/2</f>
        <v>15</v>
      </c>
      <c r="F8" s="33">
        <v>0</v>
      </c>
      <c r="G8" s="45">
        <f t="shared" si="1"/>
        <v>30</v>
      </c>
    </row>
    <row r="9" spans="1:11" x14ac:dyDescent="0.2">
      <c r="A9" s="417" t="s">
        <v>91</v>
      </c>
      <c r="B9" s="32" t="s">
        <v>92</v>
      </c>
      <c r="C9" s="120">
        <v>2</v>
      </c>
      <c r="D9" s="33">
        <f>+'Bienes&amp;Servicios'!$C$56/2</f>
        <v>10</v>
      </c>
      <c r="E9" s="33">
        <f t="shared" si="0"/>
        <v>5</v>
      </c>
      <c r="F9" s="33">
        <v>0</v>
      </c>
      <c r="G9" s="45">
        <f t="shared" si="1"/>
        <v>5</v>
      </c>
    </row>
    <row r="10" spans="1:11" x14ac:dyDescent="0.2">
      <c r="A10" s="417"/>
      <c r="B10" s="32" t="s">
        <v>96</v>
      </c>
      <c r="C10" s="120">
        <v>1</v>
      </c>
      <c r="D10" s="33">
        <f>+'Bienes&amp;Servicios'!$C$56/2</f>
        <v>10</v>
      </c>
      <c r="E10" s="33">
        <f t="shared" si="0"/>
        <v>5</v>
      </c>
      <c r="F10" s="33">
        <v>0</v>
      </c>
      <c r="G10" s="45">
        <f t="shared" si="1"/>
        <v>10</v>
      </c>
    </row>
    <row r="11" spans="1:11" x14ac:dyDescent="0.2">
      <c r="A11" s="417" t="s">
        <v>39</v>
      </c>
      <c r="B11" s="32" t="s">
        <v>40</v>
      </c>
      <c r="C11" s="120">
        <v>1</v>
      </c>
      <c r="D11" s="35">
        <f>+'Bienes&amp;Servicios'!$C$53/2</f>
        <v>10</v>
      </c>
      <c r="E11" s="33">
        <v>0</v>
      </c>
      <c r="F11" s="33">
        <v>0</v>
      </c>
      <c r="G11" s="45">
        <f t="shared" si="1"/>
        <v>10</v>
      </c>
    </row>
    <row r="12" spans="1:11" x14ac:dyDescent="0.2">
      <c r="A12" s="417"/>
      <c r="B12" s="32" t="s">
        <v>44</v>
      </c>
      <c r="C12" s="120">
        <v>3</v>
      </c>
      <c r="D12" s="35">
        <f>+'Bienes&amp;Servicios'!$C$53/2</f>
        <v>10</v>
      </c>
      <c r="E12" s="33">
        <f>+D12/2</f>
        <v>5</v>
      </c>
      <c r="F12" s="33">
        <v>0</v>
      </c>
      <c r="G12" s="45">
        <f t="shared" si="1"/>
        <v>0</v>
      </c>
    </row>
    <row r="13" spans="1:11" ht="15" x14ac:dyDescent="0.2">
      <c r="A13" s="75" t="s">
        <v>662</v>
      </c>
      <c r="B13" s="32" t="s">
        <v>49</v>
      </c>
      <c r="C13" s="425" t="b">
        <v>0</v>
      </c>
      <c r="D13" s="426"/>
      <c r="E13" s="426"/>
      <c r="F13" s="426"/>
      <c r="G13" s="427"/>
    </row>
    <row r="14" spans="1:11" s="41" customFormat="1" ht="15" x14ac:dyDescent="0.25">
      <c r="A14" s="411" t="s">
        <v>663</v>
      </c>
      <c r="B14" s="412"/>
      <c r="C14" s="412"/>
      <c r="D14" s="412"/>
      <c r="E14" s="412"/>
      <c r="F14" s="412"/>
      <c r="G14" s="72">
        <f>IF(G13=0,0,SUM(G3:G12))</f>
        <v>0</v>
      </c>
      <c r="H14" s="40"/>
      <c r="I14" s="40"/>
      <c r="J14" s="40"/>
      <c r="K14" s="40"/>
    </row>
    <row r="15" spans="1:11" ht="15" x14ac:dyDescent="0.25">
      <c r="A15" s="47"/>
      <c r="B15" s="36"/>
      <c r="C15" s="36"/>
      <c r="D15" s="36"/>
      <c r="E15" s="36"/>
      <c r="F15" s="36"/>
      <c r="G15" s="48"/>
    </row>
    <row r="16" spans="1:11" x14ac:dyDescent="0.2">
      <c r="A16" s="77" t="s">
        <v>664</v>
      </c>
      <c r="B16" s="424" t="b">
        <v>1</v>
      </c>
      <c r="C16" s="424"/>
      <c r="D16" s="424"/>
      <c r="E16" s="424"/>
      <c r="G16" s="50"/>
    </row>
    <row r="17" spans="1:7" x14ac:dyDescent="0.2">
      <c r="A17" s="422" t="s">
        <v>54</v>
      </c>
      <c r="B17" s="423"/>
      <c r="C17" s="105" t="s">
        <v>665</v>
      </c>
      <c r="D17" s="78" t="s">
        <v>666</v>
      </c>
      <c r="E17" s="78" t="s">
        <v>663</v>
      </c>
      <c r="G17" s="50"/>
    </row>
    <row r="18" spans="1:7" ht="28.5" x14ac:dyDescent="0.2">
      <c r="A18" s="422"/>
      <c r="B18" s="423"/>
      <c r="C18" s="106" t="s">
        <v>667</v>
      </c>
      <c r="D18" s="106" t="s">
        <v>667</v>
      </c>
      <c r="E18" s="106" t="s">
        <v>668</v>
      </c>
      <c r="G18" s="50"/>
    </row>
    <row r="19" spans="1:7" x14ac:dyDescent="0.2">
      <c r="A19" s="413" t="s">
        <v>57</v>
      </c>
      <c r="B19" s="414"/>
      <c r="C19" s="118">
        <v>20</v>
      </c>
      <c r="D19" s="15">
        <f>+(C19/SUM($C$19:$C$21))*100</f>
        <v>25</v>
      </c>
      <c r="E19" s="38">
        <f>SUM(G11:G12)</f>
        <v>10</v>
      </c>
      <c r="G19" s="50"/>
    </row>
    <row r="20" spans="1:7" x14ac:dyDescent="0.2">
      <c r="A20" s="413" t="s">
        <v>58</v>
      </c>
      <c r="B20" s="414"/>
      <c r="C20" s="118">
        <v>30</v>
      </c>
      <c r="D20" s="15">
        <f>+(C20/SUM($C$19:$C$21))*100</f>
        <v>37.5</v>
      </c>
      <c r="E20" s="38">
        <f>SUM(G3:G7)</f>
        <v>6</v>
      </c>
      <c r="G20" s="50"/>
    </row>
    <row r="21" spans="1:7" x14ac:dyDescent="0.2">
      <c r="A21" s="413" t="s">
        <v>59</v>
      </c>
      <c r="B21" s="414"/>
      <c r="C21" s="118">
        <v>30</v>
      </c>
      <c r="D21" s="15">
        <f>+(C21/SUM($C$19:$C$21))*100</f>
        <v>37.5</v>
      </c>
      <c r="E21" s="38">
        <f>SUM(G8)</f>
        <v>30</v>
      </c>
      <c r="G21" s="50"/>
    </row>
    <row r="22" spans="1:7" ht="15" thickBot="1" x14ac:dyDescent="0.25">
      <c r="A22" s="430" t="s">
        <v>91</v>
      </c>
      <c r="B22" s="431"/>
      <c r="C22" s="119">
        <v>20</v>
      </c>
      <c r="D22" s="53">
        <v>0</v>
      </c>
      <c r="E22" s="54">
        <f>SUM(G9:G10)</f>
        <v>15</v>
      </c>
      <c r="F22" s="51"/>
      <c r="G22" s="52"/>
    </row>
    <row r="23" spans="1:7" x14ac:dyDescent="0.2">
      <c r="A23" s="29"/>
      <c r="B23" s="29"/>
      <c r="C23" s="30"/>
      <c r="D23" s="30"/>
      <c r="E23" s="39"/>
    </row>
    <row r="24" spans="1:7" ht="15" thickBot="1" x14ac:dyDescent="0.25"/>
    <row r="25" spans="1:7" x14ac:dyDescent="0.2">
      <c r="A25" s="433" t="s">
        <v>669</v>
      </c>
      <c r="B25" s="434"/>
      <c r="C25" s="439" t="s">
        <v>653</v>
      </c>
      <c r="D25" s="439" t="s">
        <v>654</v>
      </c>
      <c r="E25" s="439"/>
      <c r="F25" s="439"/>
      <c r="G25" s="441" t="s">
        <v>655</v>
      </c>
    </row>
    <row r="26" spans="1:7" x14ac:dyDescent="0.2">
      <c r="A26" s="435"/>
      <c r="B26" s="436"/>
      <c r="C26" s="440"/>
      <c r="D26" s="104">
        <v>1</v>
      </c>
      <c r="E26" s="104">
        <v>2</v>
      </c>
      <c r="F26" s="104">
        <v>3</v>
      </c>
      <c r="G26" s="442"/>
    </row>
    <row r="27" spans="1:7" x14ac:dyDescent="0.2">
      <c r="A27" s="432" t="s">
        <v>24</v>
      </c>
      <c r="B27" s="73" t="s">
        <v>658</v>
      </c>
      <c r="C27" s="120">
        <v>1</v>
      </c>
      <c r="D27" s="33">
        <f>+Servicios!$C$47/3</f>
        <v>10</v>
      </c>
      <c r="E27" s="33">
        <f>+D27/2</f>
        <v>5</v>
      </c>
      <c r="F27" s="34">
        <v>0</v>
      </c>
      <c r="G27" s="45">
        <f>IF(C27=$D$26,D27,IF(C27=$E$26,E27,IF(C27=$F$26,F27)))</f>
        <v>10</v>
      </c>
    </row>
    <row r="28" spans="1:7" x14ac:dyDescent="0.2">
      <c r="A28" s="432"/>
      <c r="B28" s="73" t="s">
        <v>659</v>
      </c>
      <c r="C28" s="120">
        <v>1</v>
      </c>
      <c r="D28" s="33">
        <f>+Servicios!$C$47/3</f>
        <v>10</v>
      </c>
      <c r="E28" s="33">
        <f t="shared" ref="E28:E34" si="2">+D28/2</f>
        <v>5</v>
      </c>
      <c r="F28" s="34">
        <v>0</v>
      </c>
      <c r="G28" s="45">
        <f t="shared" ref="G28:G34" si="3">IF(C28=$D$26,D28,IF(C28=$E$26,E28,IF(C28=$F$26,F28)))</f>
        <v>10</v>
      </c>
    </row>
    <row r="29" spans="1:7" x14ac:dyDescent="0.2">
      <c r="A29" s="432"/>
      <c r="B29" s="73" t="s">
        <v>670</v>
      </c>
      <c r="C29" s="120">
        <v>1</v>
      </c>
      <c r="D29" s="33">
        <f>+Servicios!$C$47/3</f>
        <v>10</v>
      </c>
      <c r="E29" s="33">
        <f t="shared" si="2"/>
        <v>5</v>
      </c>
      <c r="F29" s="34">
        <v>0</v>
      </c>
      <c r="G29" s="45">
        <f t="shared" si="3"/>
        <v>10</v>
      </c>
    </row>
    <row r="30" spans="1:7" ht="15" x14ac:dyDescent="0.2">
      <c r="A30" s="76" t="s">
        <v>34</v>
      </c>
      <c r="B30" s="73" t="s">
        <v>671</v>
      </c>
      <c r="C30" s="120">
        <v>1</v>
      </c>
      <c r="D30" s="35">
        <f>+Servicios!C48</f>
        <v>30</v>
      </c>
      <c r="E30" s="33">
        <f t="shared" si="2"/>
        <v>15</v>
      </c>
      <c r="F30" s="34">
        <v>0</v>
      </c>
      <c r="G30" s="45">
        <f t="shared" si="3"/>
        <v>30</v>
      </c>
    </row>
    <row r="31" spans="1:7" x14ac:dyDescent="0.2">
      <c r="A31" s="432" t="s">
        <v>91</v>
      </c>
      <c r="B31" s="73" t="s">
        <v>92</v>
      </c>
      <c r="C31" s="120">
        <v>1</v>
      </c>
      <c r="D31" s="33">
        <f>+Servicios!$C$49/2</f>
        <v>10</v>
      </c>
      <c r="E31" s="33">
        <f t="shared" si="2"/>
        <v>5</v>
      </c>
      <c r="F31" s="34">
        <v>0</v>
      </c>
      <c r="G31" s="45">
        <f t="shared" si="3"/>
        <v>10</v>
      </c>
    </row>
    <row r="32" spans="1:7" x14ac:dyDescent="0.2">
      <c r="A32" s="432"/>
      <c r="B32" s="73" t="s">
        <v>96</v>
      </c>
      <c r="C32" s="120">
        <v>1</v>
      </c>
      <c r="D32" s="33">
        <f>+Servicios!$C$49/2</f>
        <v>10</v>
      </c>
      <c r="E32" s="33">
        <f t="shared" si="2"/>
        <v>5</v>
      </c>
      <c r="F32" s="34">
        <v>0</v>
      </c>
      <c r="G32" s="45">
        <f t="shared" si="3"/>
        <v>10</v>
      </c>
    </row>
    <row r="33" spans="1:11" x14ac:dyDescent="0.2">
      <c r="A33" s="432" t="s">
        <v>39</v>
      </c>
      <c r="B33" s="73" t="s">
        <v>40</v>
      </c>
      <c r="C33" s="120">
        <v>1</v>
      </c>
      <c r="D33" s="33">
        <f>+Servicios!$C$46/2</f>
        <v>10</v>
      </c>
      <c r="E33" s="33">
        <v>0</v>
      </c>
      <c r="F33" s="34">
        <v>0</v>
      </c>
      <c r="G33" s="45">
        <f t="shared" si="3"/>
        <v>10</v>
      </c>
    </row>
    <row r="34" spans="1:11" x14ac:dyDescent="0.2">
      <c r="A34" s="432"/>
      <c r="B34" s="73" t="s">
        <v>44</v>
      </c>
      <c r="C34" s="120">
        <v>1</v>
      </c>
      <c r="D34" s="33">
        <f>+Servicios!$C$46/2</f>
        <v>10</v>
      </c>
      <c r="E34" s="33">
        <f t="shared" si="2"/>
        <v>5</v>
      </c>
      <c r="F34" s="34">
        <v>0</v>
      </c>
      <c r="G34" s="45">
        <f t="shared" si="3"/>
        <v>10</v>
      </c>
    </row>
    <row r="35" spans="1:11" ht="15" x14ac:dyDescent="0.2">
      <c r="A35" s="76" t="s">
        <v>672</v>
      </c>
      <c r="B35" s="73" t="s">
        <v>49</v>
      </c>
      <c r="C35" s="425" t="b">
        <v>0</v>
      </c>
      <c r="D35" s="426"/>
      <c r="E35" s="426"/>
      <c r="F35" s="426"/>
      <c r="G35" s="427"/>
    </row>
    <row r="36" spans="1:11" s="41" customFormat="1" ht="15" x14ac:dyDescent="0.25">
      <c r="A36" s="437" t="s">
        <v>663</v>
      </c>
      <c r="B36" s="438"/>
      <c r="C36" s="438"/>
      <c r="D36" s="438"/>
      <c r="E36" s="438"/>
      <c r="F36" s="438"/>
      <c r="G36" s="46">
        <f>IF(G35=0,0,SUM(G25:G34))</f>
        <v>0</v>
      </c>
      <c r="H36" s="40"/>
      <c r="I36" s="40"/>
      <c r="J36" s="40"/>
      <c r="K36" s="40"/>
    </row>
    <row r="37" spans="1:11" x14ac:dyDescent="0.2">
      <c r="A37" s="49"/>
      <c r="G37" s="50"/>
    </row>
    <row r="38" spans="1:11" x14ac:dyDescent="0.2">
      <c r="A38" s="55" t="s">
        <v>664</v>
      </c>
      <c r="B38" s="424" t="b">
        <v>1</v>
      </c>
      <c r="C38" s="424"/>
      <c r="D38" s="424"/>
      <c r="E38" s="424"/>
      <c r="G38" s="50"/>
    </row>
    <row r="39" spans="1:11" x14ac:dyDescent="0.2">
      <c r="A39" s="428" t="s">
        <v>54</v>
      </c>
      <c r="B39" s="429"/>
      <c r="C39" s="104" t="s">
        <v>665</v>
      </c>
      <c r="D39" s="44" t="s">
        <v>666</v>
      </c>
      <c r="E39" s="44" t="s">
        <v>663</v>
      </c>
      <c r="G39" s="50"/>
    </row>
    <row r="40" spans="1:11" ht="28.5" x14ac:dyDescent="0.2">
      <c r="A40" s="428"/>
      <c r="B40" s="429"/>
      <c r="C40" s="103" t="s">
        <v>667</v>
      </c>
      <c r="D40" s="103" t="s">
        <v>667</v>
      </c>
      <c r="E40" s="103" t="s">
        <v>668</v>
      </c>
      <c r="G40" s="50"/>
    </row>
    <row r="41" spans="1:11" x14ac:dyDescent="0.2">
      <c r="A41" s="413" t="s">
        <v>57</v>
      </c>
      <c r="B41" s="414"/>
      <c r="C41" s="118">
        <v>20</v>
      </c>
      <c r="D41" s="15">
        <f>+(C41/SUM($C$19:$C$21))*100</f>
        <v>25</v>
      </c>
      <c r="E41" s="38">
        <f>SUM(G33:G34)</f>
        <v>20</v>
      </c>
      <c r="G41" s="50"/>
    </row>
    <row r="42" spans="1:11" x14ac:dyDescent="0.2">
      <c r="A42" s="413" t="s">
        <v>58</v>
      </c>
      <c r="B42" s="414"/>
      <c r="C42" s="118">
        <v>30</v>
      </c>
      <c r="D42" s="15">
        <f>+(C42/SUM($C$19:$C$21))*100</f>
        <v>37.5</v>
      </c>
      <c r="E42" s="38">
        <f>SUM(G27:G29)</f>
        <v>30</v>
      </c>
      <c r="G42" s="50"/>
    </row>
    <row r="43" spans="1:11" x14ac:dyDescent="0.2">
      <c r="A43" s="413" t="s">
        <v>59</v>
      </c>
      <c r="B43" s="414"/>
      <c r="C43" s="118">
        <v>30</v>
      </c>
      <c r="D43" s="15">
        <f>+(C43/SUM($C$19:$C$21))*100</f>
        <v>37.5</v>
      </c>
      <c r="E43" s="38">
        <f>SUM(G30)</f>
        <v>30</v>
      </c>
      <c r="G43" s="50"/>
    </row>
    <row r="44" spans="1:11" ht="15" thickBot="1" x14ac:dyDescent="0.25">
      <c r="A44" s="430" t="s">
        <v>91</v>
      </c>
      <c r="B44" s="431"/>
      <c r="C44" s="119">
        <v>20</v>
      </c>
      <c r="D44" s="53">
        <v>0</v>
      </c>
      <c r="E44" s="54">
        <f>SUM(G31:G32)</f>
        <v>20</v>
      </c>
      <c r="F44" s="51"/>
      <c r="G44" s="52"/>
    </row>
    <row r="47" spans="1:11" ht="15" thickBot="1" x14ac:dyDescent="0.25"/>
    <row r="48" spans="1:11" x14ac:dyDescent="0.2">
      <c r="A48" s="453" t="s">
        <v>673</v>
      </c>
      <c r="B48" s="454"/>
      <c r="C48" s="448" t="s">
        <v>653</v>
      </c>
      <c r="D48" s="448" t="s">
        <v>654</v>
      </c>
      <c r="E48" s="448"/>
      <c r="F48" s="448"/>
      <c r="G48" s="450" t="s">
        <v>655</v>
      </c>
    </row>
    <row r="49" spans="1:7" x14ac:dyDescent="0.2">
      <c r="A49" s="455"/>
      <c r="B49" s="456"/>
      <c r="C49" s="449"/>
      <c r="D49" s="101">
        <v>1</v>
      </c>
      <c r="E49" s="101">
        <v>2</v>
      </c>
      <c r="F49" s="101">
        <v>3</v>
      </c>
      <c r="G49" s="451"/>
    </row>
    <row r="50" spans="1:7" x14ac:dyDescent="0.2">
      <c r="A50" s="452" t="s">
        <v>24</v>
      </c>
      <c r="B50" s="74" t="s">
        <v>656</v>
      </c>
      <c r="C50" s="121">
        <v>1</v>
      </c>
      <c r="D50" s="34">
        <f>+$C$59/2</f>
        <v>17.5</v>
      </c>
      <c r="E50" s="34">
        <f>+D50/2</f>
        <v>8.75</v>
      </c>
      <c r="F50" s="34">
        <v>0</v>
      </c>
      <c r="G50" s="45">
        <f>IF(C50=$D$49,D50,IF(C50=$E$49,E50,IF(C50=$F$49,F50)))</f>
        <v>17.5</v>
      </c>
    </row>
    <row r="51" spans="1:7" x14ac:dyDescent="0.2">
      <c r="A51" s="452"/>
      <c r="B51" s="74" t="s">
        <v>674</v>
      </c>
      <c r="C51" s="121">
        <v>1</v>
      </c>
      <c r="D51" s="34">
        <f>+$C$59/2</f>
        <v>17.5</v>
      </c>
      <c r="E51" s="34">
        <f t="shared" ref="E51:E54" si="4">+D51/2</f>
        <v>8.75</v>
      </c>
      <c r="F51" s="34">
        <v>0</v>
      </c>
      <c r="G51" s="45">
        <f t="shared" ref="G51:G54" si="5">IF(C51=$D$49,D51,IF(C51=$E$49,E51,IF(C51=$F$49,F51)))</f>
        <v>17.5</v>
      </c>
    </row>
    <row r="52" spans="1:7" ht="15" x14ac:dyDescent="0.25">
      <c r="A52" s="79" t="s">
        <v>34</v>
      </c>
      <c r="B52" s="74" t="s">
        <v>675</v>
      </c>
      <c r="C52" s="121">
        <v>1</v>
      </c>
      <c r="D52" s="81">
        <f>+C60</f>
        <v>35</v>
      </c>
      <c r="E52" s="34">
        <f t="shared" si="4"/>
        <v>17.5</v>
      </c>
      <c r="F52" s="34">
        <v>0</v>
      </c>
      <c r="G52" s="45">
        <f t="shared" si="5"/>
        <v>35</v>
      </c>
    </row>
    <row r="53" spans="1:7" x14ac:dyDescent="0.2">
      <c r="A53" s="452" t="s">
        <v>39</v>
      </c>
      <c r="B53" s="74" t="s">
        <v>40</v>
      </c>
      <c r="C53" s="121">
        <v>1</v>
      </c>
      <c r="D53" s="34">
        <f>+$C$58/2</f>
        <v>15</v>
      </c>
      <c r="E53" s="34">
        <v>0</v>
      </c>
      <c r="F53" s="34">
        <v>0</v>
      </c>
      <c r="G53" s="45">
        <f t="shared" si="5"/>
        <v>15</v>
      </c>
    </row>
    <row r="54" spans="1:7" x14ac:dyDescent="0.2">
      <c r="A54" s="452"/>
      <c r="B54" s="74" t="s">
        <v>44</v>
      </c>
      <c r="C54" s="121">
        <v>1</v>
      </c>
      <c r="D54" s="34">
        <f>+$C$58/2</f>
        <v>15</v>
      </c>
      <c r="E54" s="34">
        <f t="shared" si="4"/>
        <v>7.5</v>
      </c>
      <c r="F54" s="34">
        <v>0</v>
      </c>
      <c r="G54" s="45">
        <f t="shared" si="5"/>
        <v>15</v>
      </c>
    </row>
    <row r="55" spans="1:7" ht="15" x14ac:dyDescent="0.25">
      <c r="A55" s="79" t="s">
        <v>662</v>
      </c>
      <c r="B55" s="74" t="s">
        <v>49</v>
      </c>
      <c r="C55" s="445" t="b">
        <v>0</v>
      </c>
      <c r="D55" s="446"/>
      <c r="E55" s="446"/>
      <c r="F55" s="446"/>
      <c r="G55" s="447"/>
    </row>
    <row r="56" spans="1:7" x14ac:dyDescent="0.2">
      <c r="A56" s="49"/>
      <c r="G56" s="50"/>
    </row>
    <row r="57" spans="1:7" ht="28.5" x14ac:dyDescent="0.2">
      <c r="A57" s="443" t="s">
        <v>54</v>
      </c>
      <c r="B57" s="444"/>
      <c r="C57" s="102" t="s">
        <v>667</v>
      </c>
      <c r="D57" s="102" t="s">
        <v>668</v>
      </c>
      <c r="F57" s="31"/>
      <c r="G57" s="116"/>
    </row>
    <row r="58" spans="1:7" x14ac:dyDescent="0.2">
      <c r="A58" s="413" t="s">
        <v>57</v>
      </c>
      <c r="B58" s="414"/>
      <c r="C58" s="118">
        <v>30</v>
      </c>
      <c r="D58" s="38">
        <f>SUM(G53:G54)</f>
        <v>30</v>
      </c>
      <c r="F58" s="31"/>
      <c r="G58" s="116"/>
    </row>
    <row r="59" spans="1:7" x14ac:dyDescent="0.2">
      <c r="A59" s="413" t="s">
        <v>58</v>
      </c>
      <c r="B59" s="414"/>
      <c r="C59" s="118">
        <v>35</v>
      </c>
      <c r="D59" s="38">
        <f>SUM(G50:G51)</f>
        <v>35</v>
      </c>
      <c r="F59" s="31"/>
      <c r="G59" s="116"/>
    </row>
    <row r="60" spans="1:7" ht="15" thickBot="1" x14ac:dyDescent="0.25">
      <c r="A60" s="430" t="s">
        <v>59</v>
      </c>
      <c r="B60" s="431"/>
      <c r="C60" s="119">
        <v>35</v>
      </c>
      <c r="D60" s="54">
        <f>SUM(G52)</f>
        <v>35</v>
      </c>
      <c r="E60" s="51"/>
      <c r="F60" s="80"/>
      <c r="G60" s="117"/>
    </row>
  </sheetData>
  <sheetProtection sheet="1" objects="1" scenarios="1" selectLockedCells="1"/>
  <mergeCells count="41">
    <mergeCell ref="C55:G55"/>
    <mergeCell ref="C48:C49"/>
    <mergeCell ref="D48:F48"/>
    <mergeCell ref="G48:G49"/>
    <mergeCell ref="A50:A51"/>
    <mergeCell ref="A53:A54"/>
    <mergeCell ref="A48:B49"/>
    <mergeCell ref="A57:B57"/>
    <mergeCell ref="A58:B58"/>
    <mergeCell ref="A59:B59"/>
    <mergeCell ref="A60:B60"/>
    <mergeCell ref="A42:B42"/>
    <mergeCell ref="A43:B43"/>
    <mergeCell ref="A44:B44"/>
    <mergeCell ref="B38:E38"/>
    <mergeCell ref="A39:B40"/>
    <mergeCell ref="A41:B41"/>
    <mergeCell ref="A21:B21"/>
    <mergeCell ref="A22:B22"/>
    <mergeCell ref="A27:A29"/>
    <mergeCell ref="A31:A32"/>
    <mergeCell ref="A33:A34"/>
    <mergeCell ref="A25:B26"/>
    <mergeCell ref="A36:F36"/>
    <mergeCell ref="C35:G35"/>
    <mergeCell ref="C25:C26"/>
    <mergeCell ref="D25:F25"/>
    <mergeCell ref="G25:G26"/>
    <mergeCell ref="G1:G2"/>
    <mergeCell ref="A14:F14"/>
    <mergeCell ref="A19:B19"/>
    <mergeCell ref="A20:B20"/>
    <mergeCell ref="D1:F1"/>
    <mergeCell ref="C1:C2"/>
    <mergeCell ref="A3:A7"/>
    <mergeCell ref="A1:B2"/>
    <mergeCell ref="A9:A10"/>
    <mergeCell ref="A11:A12"/>
    <mergeCell ref="A17:B18"/>
    <mergeCell ref="B16:E16"/>
    <mergeCell ref="C13:G13"/>
  </mergeCells>
  <pageMargins left="0.7" right="0.7" top="0.75" bottom="0.75" header="0.3" footer="0.3"/>
  <pageSetup orientation="portrait" r:id="rId1"/>
  <cellWatches>
    <cellWatch r="A1"/>
    <cellWatch r="C1"/>
    <cellWatch r="D1"/>
    <cellWatch r="G1"/>
    <cellWatch r="D2"/>
    <cellWatch r="E2"/>
    <cellWatch r="F2"/>
    <cellWatch r="A3"/>
    <cellWatch r="B3"/>
    <cellWatch r="C3"/>
    <cellWatch r="D3"/>
    <cellWatch r="E3"/>
    <cellWatch r="F3"/>
    <cellWatch r="G3"/>
    <cellWatch r="B4"/>
    <cellWatch r="C4"/>
    <cellWatch r="D4"/>
    <cellWatch r="E4"/>
    <cellWatch r="F4"/>
    <cellWatch r="G4"/>
    <cellWatch r="B5"/>
    <cellWatch r="C5"/>
    <cellWatch r="D5"/>
    <cellWatch r="E5"/>
    <cellWatch r="F5"/>
    <cellWatch r="G5"/>
    <cellWatch r="B6"/>
    <cellWatch r="C6"/>
    <cellWatch r="D6"/>
    <cellWatch r="E6"/>
    <cellWatch r="F6"/>
    <cellWatch r="G6"/>
    <cellWatch r="B7"/>
    <cellWatch r="C7"/>
    <cellWatch r="D7"/>
    <cellWatch r="E7"/>
    <cellWatch r="F7"/>
    <cellWatch r="G7"/>
    <cellWatch r="A8"/>
    <cellWatch r="B8"/>
    <cellWatch r="C8"/>
    <cellWatch r="D8"/>
    <cellWatch r="E8"/>
    <cellWatch r="F8"/>
    <cellWatch r="G8"/>
    <cellWatch r="A9"/>
    <cellWatch r="B9"/>
    <cellWatch r="C9"/>
    <cellWatch r="D9"/>
    <cellWatch r="E9"/>
    <cellWatch r="F9"/>
    <cellWatch r="G9"/>
    <cellWatch r="B10"/>
    <cellWatch r="C10"/>
    <cellWatch r="D10"/>
    <cellWatch r="E10"/>
    <cellWatch r="F10"/>
    <cellWatch r="G10"/>
    <cellWatch r="A11"/>
    <cellWatch r="B11"/>
    <cellWatch r="C11"/>
    <cellWatch r="D11"/>
    <cellWatch r="E11"/>
    <cellWatch r="F11"/>
    <cellWatch r="G11"/>
    <cellWatch r="B12"/>
    <cellWatch r="C12"/>
    <cellWatch r="D12"/>
    <cellWatch r="E12"/>
    <cellWatch r="F12"/>
    <cellWatch r="G12"/>
    <cellWatch r="A13"/>
    <cellWatch r="B13"/>
    <cellWatch r="C13"/>
    <cellWatch r="A14"/>
    <cellWatch r="G14"/>
    <cellWatch r="A15"/>
    <cellWatch r="B15"/>
    <cellWatch r="C15"/>
    <cellWatch r="D15"/>
    <cellWatch r="E15"/>
    <cellWatch r="F15"/>
    <cellWatch r="G15"/>
    <cellWatch r="A16"/>
    <cellWatch r="B16"/>
    <cellWatch r="F16"/>
    <cellWatch r="G16"/>
    <cellWatch r="A17"/>
    <cellWatch r="C17"/>
    <cellWatch r="D17"/>
    <cellWatch r="E17"/>
    <cellWatch r="F17"/>
    <cellWatch r="G17"/>
    <cellWatch r="C18"/>
    <cellWatch r="D18"/>
    <cellWatch r="E18"/>
    <cellWatch r="F18"/>
    <cellWatch r="G18"/>
    <cellWatch r="A19"/>
    <cellWatch r="C19"/>
    <cellWatch r="D19"/>
    <cellWatch r="E19"/>
    <cellWatch r="F19"/>
    <cellWatch r="G19"/>
    <cellWatch r="A20"/>
    <cellWatch r="C20"/>
    <cellWatch r="D20"/>
    <cellWatch r="E20"/>
    <cellWatch r="F20"/>
    <cellWatch r="G20"/>
    <cellWatch r="A21"/>
    <cellWatch r="C21"/>
    <cellWatch r="D21"/>
    <cellWatch r="E21"/>
    <cellWatch r="F21"/>
    <cellWatch r="G21"/>
    <cellWatch r="A22"/>
    <cellWatch r="C22"/>
    <cellWatch r="D22"/>
    <cellWatch r="E22"/>
    <cellWatch r="F22"/>
    <cellWatch r="G22"/>
    <cellWatch r="A23"/>
    <cellWatch r="B23"/>
    <cellWatch r="C23"/>
    <cellWatch r="D23"/>
    <cellWatch r="E23"/>
    <cellWatch r="F23"/>
    <cellWatch r="G23"/>
    <cellWatch r="A24"/>
    <cellWatch r="B24"/>
    <cellWatch r="C24"/>
    <cellWatch r="D24"/>
    <cellWatch r="E24"/>
    <cellWatch r="F24"/>
    <cellWatch r="G24"/>
    <cellWatch r="A25"/>
    <cellWatch r="C25"/>
    <cellWatch r="D25"/>
    <cellWatch r="G25"/>
    <cellWatch r="D26"/>
    <cellWatch r="E26"/>
    <cellWatch r="F26"/>
    <cellWatch r="A27"/>
    <cellWatch r="B27"/>
    <cellWatch r="C27"/>
    <cellWatch r="D27"/>
    <cellWatch r="E27"/>
    <cellWatch r="F27"/>
    <cellWatch r="G27"/>
    <cellWatch r="B28"/>
    <cellWatch r="C28"/>
    <cellWatch r="D28"/>
    <cellWatch r="E28"/>
    <cellWatch r="F28"/>
    <cellWatch r="G28"/>
    <cellWatch r="B29"/>
    <cellWatch r="C29"/>
    <cellWatch r="D29"/>
    <cellWatch r="E29"/>
    <cellWatch r="F29"/>
    <cellWatch r="G29"/>
    <cellWatch r="A30"/>
    <cellWatch r="B30"/>
    <cellWatch r="C30"/>
    <cellWatch r="D30"/>
    <cellWatch r="E30"/>
    <cellWatch r="F30"/>
    <cellWatch r="G30"/>
    <cellWatch r="A31"/>
    <cellWatch r="B31"/>
    <cellWatch r="C31"/>
    <cellWatch r="D31"/>
    <cellWatch r="E31"/>
    <cellWatch r="F31"/>
    <cellWatch r="G31"/>
    <cellWatch r="B32"/>
    <cellWatch r="C32"/>
    <cellWatch r="D32"/>
    <cellWatch r="E32"/>
    <cellWatch r="F32"/>
    <cellWatch r="G32"/>
    <cellWatch r="A33"/>
    <cellWatch r="B33"/>
    <cellWatch r="C33"/>
    <cellWatch r="D33"/>
    <cellWatch r="E33"/>
    <cellWatch r="F33"/>
    <cellWatch r="G33"/>
    <cellWatch r="B34"/>
    <cellWatch r="C34"/>
    <cellWatch r="D34"/>
    <cellWatch r="E34"/>
    <cellWatch r="F34"/>
    <cellWatch r="G34"/>
    <cellWatch r="A35"/>
    <cellWatch r="B35"/>
    <cellWatch r="C35"/>
    <cellWatch r="A36"/>
    <cellWatch r="G36"/>
    <cellWatch r="A37"/>
    <cellWatch r="B37"/>
    <cellWatch r="C37"/>
    <cellWatch r="D37"/>
    <cellWatch r="E37"/>
    <cellWatch r="F37"/>
    <cellWatch r="G37"/>
    <cellWatch r="A38"/>
    <cellWatch r="B38"/>
    <cellWatch r="F38"/>
    <cellWatch r="G38"/>
    <cellWatch r="A39"/>
    <cellWatch r="C39"/>
    <cellWatch r="D39"/>
    <cellWatch r="E39"/>
    <cellWatch r="F39"/>
    <cellWatch r="G39"/>
    <cellWatch r="C40"/>
    <cellWatch r="D40"/>
    <cellWatch r="E40"/>
    <cellWatch r="F40"/>
    <cellWatch r="G40"/>
    <cellWatch r="A41"/>
    <cellWatch r="C41"/>
    <cellWatch r="D41"/>
    <cellWatch r="E41"/>
    <cellWatch r="F41"/>
    <cellWatch r="G41"/>
    <cellWatch r="A42"/>
    <cellWatch r="C42"/>
    <cellWatch r="D42"/>
    <cellWatch r="E42"/>
    <cellWatch r="F42"/>
    <cellWatch r="G42"/>
    <cellWatch r="A43"/>
    <cellWatch r="C43"/>
    <cellWatch r="D43"/>
    <cellWatch r="E43"/>
    <cellWatch r="F43"/>
    <cellWatch r="G43"/>
    <cellWatch r="A44"/>
    <cellWatch r="C44"/>
    <cellWatch r="D44"/>
    <cellWatch r="E44"/>
    <cellWatch r="F44"/>
    <cellWatch r="G44"/>
    <cellWatch r="A45"/>
    <cellWatch r="B45"/>
    <cellWatch r="C45"/>
    <cellWatch r="D45"/>
    <cellWatch r="E45"/>
    <cellWatch r="F45"/>
    <cellWatch r="G45"/>
    <cellWatch r="A46"/>
    <cellWatch r="B46"/>
    <cellWatch r="C46"/>
    <cellWatch r="D46"/>
    <cellWatch r="E46"/>
    <cellWatch r="F46"/>
    <cellWatch r="G46"/>
    <cellWatch r="A47"/>
    <cellWatch r="B47"/>
    <cellWatch r="C47"/>
    <cellWatch r="D47"/>
    <cellWatch r="E47"/>
    <cellWatch r="F47"/>
    <cellWatch r="G47"/>
    <cellWatch r="A48"/>
    <cellWatch r="C48"/>
    <cellWatch r="D48"/>
    <cellWatch r="G48"/>
    <cellWatch r="D49"/>
    <cellWatch r="E49"/>
    <cellWatch r="F49"/>
    <cellWatch r="A50"/>
    <cellWatch r="B50"/>
    <cellWatch r="C50"/>
    <cellWatch r="D50"/>
    <cellWatch r="E50"/>
    <cellWatch r="F50"/>
    <cellWatch r="G50"/>
    <cellWatch r="B51"/>
    <cellWatch r="C51"/>
    <cellWatch r="D51"/>
    <cellWatch r="E51"/>
    <cellWatch r="F51"/>
    <cellWatch r="G51"/>
    <cellWatch r="A52"/>
    <cellWatch r="B52"/>
    <cellWatch r="C52"/>
    <cellWatch r="D52"/>
    <cellWatch r="E52"/>
    <cellWatch r="F52"/>
    <cellWatch r="G52"/>
    <cellWatch r="A53"/>
    <cellWatch r="B53"/>
    <cellWatch r="C53"/>
    <cellWatch r="D53"/>
    <cellWatch r="E53"/>
    <cellWatch r="F53"/>
    <cellWatch r="G53"/>
    <cellWatch r="B54"/>
    <cellWatch r="C54"/>
    <cellWatch r="D54"/>
    <cellWatch r="E54"/>
    <cellWatch r="F54"/>
    <cellWatch r="G54"/>
    <cellWatch r="A55"/>
    <cellWatch r="B55"/>
    <cellWatch r="C55"/>
    <cellWatch r="A56"/>
    <cellWatch r="B56"/>
    <cellWatch r="C56"/>
    <cellWatch r="D56"/>
    <cellWatch r="E56"/>
    <cellWatch r="F56"/>
    <cellWatch r="G56"/>
    <cellWatch r="A57"/>
    <cellWatch r="C57"/>
    <cellWatch r="D57"/>
    <cellWatch r="E57"/>
    <cellWatch r="F57"/>
    <cellWatch r="G57"/>
    <cellWatch r="A58"/>
    <cellWatch r="C58"/>
    <cellWatch r="D58"/>
    <cellWatch r="E58"/>
    <cellWatch r="F58"/>
    <cellWatch r="G58"/>
    <cellWatch r="A59"/>
    <cellWatch r="C59"/>
    <cellWatch r="D59"/>
    <cellWatch r="E59"/>
    <cellWatch r="F59"/>
    <cellWatch r="G59"/>
    <cellWatch r="A60"/>
    <cellWatch r="C60"/>
    <cellWatch r="D60"/>
    <cellWatch r="E60"/>
    <cellWatch r="F60"/>
    <cellWatch r="G60"/>
  </cellWatch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020AFCAFAB846941BD0EA9B8181AE" ma:contentTypeVersion="18" ma:contentTypeDescription="Create a new document." ma:contentTypeScope="" ma:versionID="13d2f0672686d9fde921a2d0ca9e0617">
  <xsd:schema xmlns:xsd="http://www.w3.org/2001/XMLSchema" xmlns:xs="http://www.w3.org/2001/XMLSchema" xmlns:p="http://schemas.microsoft.com/office/2006/metadata/properties" xmlns:ns2="3831661b-10ca-4fac-93d1-70659eb79289" xmlns:ns3="82e2866f-343c-4b9b-b312-01074b99d286" targetNamespace="http://schemas.microsoft.com/office/2006/metadata/properties" ma:root="true" ma:fieldsID="28aa60a1551fe12cb1971e87c027d27b" ns2:_="" ns3:_="">
    <xsd:import namespace="3831661b-10ca-4fac-93d1-70659eb79289"/>
    <xsd:import namespace="82e2866f-343c-4b9b-b312-01074b99d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1661b-10ca-4fac-93d1-70659eb7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67f5adc-47c4-4964-b3a7-7ac5e466c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866f-343c-4b9b-b312-01074b99d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f00e99-79ac-4581-85b7-cec3368e179a}" ma:internalName="TaxCatchAll" ma:showField="CatchAllData" ma:web="82e2866f-343c-4b9b-b312-01074b99d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e2866f-343c-4b9b-b312-01074b99d286" xsi:nil="true"/>
    <lcf76f155ced4ddcb4097134ff3c332f xmlns="3831661b-10ca-4fac-93d1-70659eb792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4EC1B2-F296-4E81-8F0D-55F0CF8020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57517C-71FD-49E7-8812-0C0441B6B0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1661b-10ca-4fac-93d1-70659eb79289"/>
    <ds:schemaRef ds:uri="82e2866f-343c-4b9b-b312-01074b99d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2C1771-7319-478E-AC35-5CAD44529AA6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82e2866f-343c-4b9b-b312-01074b99d286"/>
    <ds:schemaRef ds:uri="3831661b-10ca-4fac-93d1-70659eb79289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165</vt:i4>
      </vt:variant>
    </vt:vector>
  </HeadingPairs>
  <TitlesOfParts>
    <vt:vector size="171" baseType="lpstr">
      <vt:lpstr>Bienes</vt:lpstr>
      <vt:lpstr>Servicios</vt:lpstr>
      <vt:lpstr>Hoja2</vt:lpstr>
      <vt:lpstr>Bienes&amp;Servicios</vt:lpstr>
      <vt:lpstr>Hoja1</vt:lpstr>
      <vt:lpstr>Datos</vt:lpstr>
      <vt:lpstr>Aplicaciones_Prevención_de_Heladas</vt:lpstr>
      <vt:lpstr>Arriendos_Vehículos_Explotación</vt:lpstr>
      <vt:lpstr>Asesores_Legales</vt:lpstr>
      <vt:lpstr>Asesoría_Contable</vt:lpstr>
      <vt:lpstr>Asocianismo</vt:lpstr>
      <vt:lpstr>Auditorias_y_Asesoría_Tributaria</vt:lpstr>
      <vt:lpstr>Bacheos_Rutinarios_y_Otras_Actividades_Puntuales</vt:lpstr>
      <vt:lpstr>Cafetería_Dispensador_de_Alimentos</vt:lpstr>
      <vt:lpstr>Capacitación_y_Formación_del_Personal</vt:lpstr>
      <vt:lpstr>Categorías</vt:lpstr>
      <vt:lpstr>Combustibles_y_Lubricantes_Vehículos_Explotación</vt:lpstr>
      <vt:lpstr>Comunicaciones_Equipos_de_Radio</vt:lpstr>
      <vt:lpstr>Comunicaciones_y_Enlace_de_Datos</vt:lpstr>
      <vt:lpstr>Construcción_de_Elementos_de_Drenaje_Subsuperficial</vt:lpstr>
      <vt:lpstr>Construcción_y_Mantenimiento_Elementos_de_Contención_Taludes</vt:lpstr>
      <vt:lpstr>Control_de_Calidad</vt:lpstr>
      <vt:lpstr>Correo</vt:lpstr>
      <vt:lpstr>Electricidad_e_Iluminación</vt:lpstr>
      <vt:lpstr>Encuestas</vt:lpstr>
      <vt:lpstr>Estacionamientos</vt:lpstr>
      <vt:lpstr>Estudios_e_Inspecciones_Mayores_CyM</vt:lpstr>
      <vt:lpstr>Estudios_e_Inspecciones_TC_CyM</vt:lpstr>
      <vt:lpstr>Fotocopias</vt:lpstr>
      <vt:lpstr>Gastos_Comunes</vt:lpstr>
      <vt:lpstr>Gastos_de_Viaje_Hoteles</vt:lpstr>
      <vt:lpstr>Gastos_de_Viaje_Otros</vt:lpstr>
      <vt:lpstr>Gastos_de_Viaje_Pasajes</vt:lpstr>
      <vt:lpstr>Gastos_Facturación_Medio_Pago_Electrónico</vt:lpstr>
      <vt:lpstr>Gastos_Por_Eventos_Deportivos_y_Recreación</vt:lpstr>
      <vt:lpstr>Gestión_del_Tránsito_y_Apoyo_Accidentes</vt:lpstr>
      <vt:lpstr>Honorarios</vt:lpstr>
      <vt:lpstr>Impresión_Boletos</vt:lpstr>
      <vt:lpstr>Inst_Defensas_y_Otros_DC</vt:lpstr>
      <vt:lpstr>Insumos_Licencias_e_Implementos_de_Computación_y_Software</vt:lpstr>
      <vt:lpstr>Lista</vt:lpstr>
      <vt:lpstr>Lista_Cat</vt:lpstr>
      <vt:lpstr>Listado</vt:lpstr>
      <vt:lpstr>M_R_MyR_de_Equipos_de_Emergenciade_Equipos_de_Emergencia</vt:lpstr>
      <vt:lpstr>Mantención_e_Insumos_de_Sistemas_de_CCTV</vt:lpstr>
      <vt:lpstr>Mantención_e_Insumos_Equipos_Túnel_y_Equipos_de_Emergencia</vt:lpstr>
      <vt:lpstr>Mantención_e_Insumos_Postes_SOS_y_PMV</vt:lpstr>
      <vt:lpstr>Mantención_e_Insumos_Sistema_de_Peajes</vt:lpstr>
      <vt:lpstr>Mantención_Vehículos_Explotación</vt:lpstr>
      <vt:lpstr>Mantención_y_Reparación_de_Instalaciones_ASG_Peajes_Paraderos</vt:lpstr>
      <vt:lpstr>Mantención_y_Reparación_de_Luminarias</vt:lpstr>
      <vt:lpstr>Mantención_y_Reparación_Pantallas_Acústicas</vt:lpstr>
      <vt:lpstr>Mantención_y_Reposición_de_Señalización_Horizontal_y_Vertical</vt:lpstr>
      <vt:lpstr>Mantenimiento_Calles_de_Servicio_Granulares</vt:lpstr>
      <vt:lpstr>Mantenimiento_Mayor_En_Estructuras_y_Cauces</vt:lpstr>
      <vt:lpstr>Mantenimiento_Pavimentos_de_Hormigón</vt:lpstr>
      <vt:lpstr>Mantenimiento_Pavimentos_y_Bermas_de_Asfalto</vt:lpstr>
      <vt:lpstr>MT2_Mantención_de_Pantallas_Acústicas</vt:lpstr>
      <vt:lpstr>N°1_Capacitación_y_Formación_del_Personal</vt:lpstr>
      <vt:lpstr>N°10_Útiles_de_Oficina</vt:lpstr>
      <vt:lpstr>N°11_Comunicaciones_y_Enlace_de_Datos</vt:lpstr>
      <vt:lpstr>N°12_Correo</vt:lpstr>
      <vt:lpstr>N°13_Servicio_Transporte_de_Dinero</vt:lpstr>
      <vt:lpstr>N°14_Servicio_Legal_Notaría</vt:lpstr>
      <vt:lpstr>N°15_Servicio_de_Pesaje</vt:lpstr>
      <vt:lpstr>N°16_Responsabilidad_Social_Empresarial_RSE</vt:lpstr>
      <vt:lpstr>N°17_Arriendos_Vehículos_Explotación</vt:lpstr>
      <vt:lpstr>N°18_Mantención_e_Insumos_Sistema_de_Peajes</vt:lpstr>
      <vt:lpstr>N°19_Mantención_y_Reparación_de_Instalaciones_ASG_Peajes_Paraderos</vt:lpstr>
      <vt:lpstr>N°2_Suministro_Trabajadores_Vestuario_Personal</vt:lpstr>
      <vt:lpstr>N°20_Mantención_e_Insumos_Postes_SOS_y_PMV</vt:lpstr>
      <vt:lpstr>N°21_Mantención_e_Insumos_de_Sistemas_de_CCTV</vt:lpstr>
      <vt:lpstr>N°22_Mantención_e_Insumos_Equipos_Túnel_y_Equipos_de_Emergencia</vt:lpstr>
      <vt:lpstr>N°23_Insumos_Licencias_e_Implementos_de_Computación_y_Software</vt:lpstr>
      <vt:lpstr>N°24_Mantención_Vehículos_Explotación</vt:lpstr>
      <vt:lpstr>N°25_Mantenimiento_Pavimentos_y_Bermas_de_Asfalto</vt:lpstr>
      <vt:lpstr>N°26_Mantenimiento_Pavimentos_de_Hormigón</vt:lpstr>
      <vt:lpstr>N°27_Mantenimiento_Calles_de_Servicio_Granulares</vt:lpstr>
      <vt:lpstr>N°28_Mantenimiento_Mayor_en_Estructuras_y_Cauces</vt:lpstr>
      <vt:lpstr>N°29_Construcción_de_Elementos_de_Drenaje_Subsuperficial</vt:lpstr>
      <vt:lpstr>N°3_Gastos_Por_Eventos_Deportivos_y_Recreación</vt:lpstr>
      <vt:lpstr>N°30_Construcción_y_Mantenimiento_Elementos_de_Contención_Taludes</vt:lpstr>
      <vt:lpstr>N°31_Sellos_de_Juntas_y_Grietas_de_Pavimentos</vt:lpstr>
      <vt:lpstr>N°32_Mantención_y_Reposición_de_Señalización_Horizontal_y_Vertical</vt:lpstr>
      <vt:lpstr>N°33_Suministro_Defensas_Camineras</vt:lpstr>
      <vt:lpstr>N°34_Inst_Defensas_y_Otros_DC</vt:lpstr>
      <vt:lpstr>N°35_Paisajismo_Mantenimiento_Faja_y_Mantención_de_Elementos_de_Drenaje_Superficial</vt:lpstr>
      <vt:lpstr>N°36_Bacheos_Rutinarios_y_Otras_Actividades_Puntuales</vt:lpstr>
      <vt:lpstr>N°37_Otros_Mantenimientos_Señalización_Vertical</vt:lpstr>
      <vt:lpstr>N°39_Mantención_y_Reparación_de_Luminarias</vt:lpstr>
      <vt:lpstr>N°4_Gastos_de_Viaje_Pasajes</vt:lpstr>
      <vt:lpstr>N°40_Suministro_de_Mat_Cercos_y_Mallas</vt:lpstr>
      <vt:lpstr>N°41_Reparación_e_Instalación_Cercos_y_Mallas</vt:lpstr>
      <vt:lpstr>N°42_Reparación_e_Instalación_New_Jersey</vt:lpstr>
      <vt:lpstr>N°43_Mantención_y_Reparación_Taludes</vt:lpstr>
      <vt:lpstr>N°44_Aplicaciones_Prevención_de_Heladas</vt:lpstr>
      <vt:lpstr>N°45_Gestión_del_Tránsito_y_Apoyo_Accidentes</vt:lpstr>
      <vt:lpstr>N°46_Asesores_Legales</vt:lpstr>
      <vt:lpstr>N°47_Auditorias_y_Asesoría_Tributaria</vt:lpstr>
      <vt:lpstr>N°48_Asesoría_Contable</vt:lpstr>
      <vt:lpstr>N°49_Servicio_Conteo_de_Tráfico</vt:lpstr>
      <vt:lpstr>N°5_Gastos_de_Viaje_Hoteles</vt:lpstr>
      <vt:lpstr>N°50_Otros_Servicios_Profesionales</vt:lpstr>
      <vt:lpstr>N°51_Encuestas</vt:lpstr>
      <vt:lpstr>N°52_Proyectos_y_Estudios_de_Gestión_Medioambiental</vt:lpstr>
      <vt:lpstr>N°53_Servicio_Cobro_Medios_de_Pago_Electrónicos</vt:lpstr>
      <vt:lpstr>N°54_Estudios_e_Inspecciones_TC_CyM</vt:lpstr>
      <vt:lpstr>N°55_Estudios_e_Inspecciones_Mayores_CyM</vt:lpstr>
      <vt:lpstr>N°56_Agua_y_Gas</vt:lpstr>
      <vt:lpstr>N°57_Suministros_de_Aseo</vt:lpstr>
      <vt:lpstr>N°58_Electricidad_e_Iluminación</vt:lpstr>
      <vt:lpstr>N°59_Comunicaciones_Equipos_de_Radio</vt:lpstr>
      <vt:lpstr>N°6_Gastos_de_Viaje_Otros</vt:lpstr>
      <vt:lpstr>N°60_Telefonía</vt:lpstr>
      <vt:lpstr>N°61_Combustibles_y_Lubricantes_Vehículos_Explotación</vt:lpstr>
      <vt:lpstr>N°62_Seguros</vt:lpstr>
      <vt:lpstr>N°63_Permisos_Circulación_Vehículos_Explotación</vt:lpstr>
      <vt:lpstr>N°64_Servicios_Vigilancia_Guardias</vt:lpstr>
      <vt:lpstr>N°65_SubContrato_Servicios_de_Aseo</vt:lpstr>
      <vt:lpstr>N°66_Servicios_de_Peajistas</vt:lpstr>
      <vt:lpstr>N°67_Servicio_Chofer_Paramédicos_Patrullas_Grúas_Motos</vt:lpstr>
      <vt:lpstr>N°68_Servicio_Integral_Ambulancia</vt:lpstr>
      <vt:lpstr>N°69_Servicio_Integral_Patrullas</vt:lpstr>
      <vt:lpstr>N°7_Impresión_Boletos</vt:lpstr>
      <vt:lpstr>N°70_Servicio_Integral_Grúas</vt:lpstr>
      <vt:lpstr>N°71_Otros_Servicios_de_Terceros</vt:lpstr>
      <vt:lpstr>N°72_Unidades_de_Comercialización_a_Cliente</vt:lpstr>
      <vt:lpstr>N°73_Asocianismo</vt:lpstr>
      <vt:lpstr>N°74_Gastos_Facturación_Medio_Pago_Electrónico</vt:lpstr>
      <vt:lpstr>N°75_Seguridad_TI</vt:lpstr>
      <vt:lpstr>N°76_MyR_de_Equipos_de_Emergencia</vt:lpstr>
      <vt:lpstr>N°77_Estacionamientos</vt:lpstr>
      <vt:lpstr>N°78_Otros_Arriendos</vt:lpstr>
      <vt:lpstr>N°79_Honorarios</vt:lpstr>
      <vt:lpstr>N°8_Publicación_comunicación_e_Imagen</vt:lpstr>
      <vt:lpstr>N°80_Control_de_Calidad</vt:lpstr>
      <vt:lpstr>N°81_Gastos_Comunes</vt:lpstr>
      <vt:lpstr>N°82_Cafetería_Dispensador_de_Alimentos</vt:lpstr>
      <vt:lpstr>N°9_Fotocopias</vt:lpstr>
      <vt:lpstr>Otros_Arriendos</vt:lpstr>
      <vt:lpstr>Otros_Mantenimientos_Señalización_Vertical</vt:lpstr>
      <vt:lpstr>Otros_Servicios_de_Terceros</vt:lpstr>
      <vt:lpstr>Otros_Servicios_Profesionales</vt:lpstr>
      <vt:lpstr>'Bienes&amp;Servicios'!Print_Area</vt:lpstr>
      <vt:lpstr>Servicios!Print_Area</vt:lpstr>
      <vt:lpstr>Proyectos_y_Estudios_de_Gestión_Medioambiental</vt:lpstr>
      <vt:lpstr>Publicación_comunicación_e_Imagen</vt:lpstr>
      <vt:lpstr>Reparación_e_Instalación_Cercos_y_Mallas</vt:lpstr>
      <vt:lpstr>Reparación_e_Instalación_New_Jersey</vt:lpstr>
      <vt:lpstr>Responsabilidad_Social_Empresarial_RSE</vt:lpstr>
      <vt:lpstr>Seguridad_TI</vt:lpstr>
      <vt:lpstr>Seguros</vt:lpstr>
      <vt:lpstr>Sellos_de_Juntas_y_Grietas_de_Pavimentos</vt:lpstr>
      <vt:lpstr>Servicio_Chofer_Paramédicos_Patrullas_Grúas_Motos</vt:lpstr>
      <vt:lpstr>Servicio_Cobro_Medios_de_Pago_Electrónicos</vt:lpstr>
      <vt:lpstr>Servicio_Conteo_de_Tráfico</vt:lpstr>
      <vt:lpstr>Servicio_de_Pesaje</vt:lpstr>
      <vt:lpstr>Servicio_Integral_Ambulancia</vt:lpstr>
      <vt:lpstr>Servicio_Integral_Grúas</vt:lpstr>
      <vt:lpstr>Servicio_Integral_Patrullas</vt:lpstr>
      <vt:lpstr>Servicio_Legal_Notaría</vt:lpstr>
      <vt:lpstr>Servicio_Transporte_de_Dinero</vt:lpstr>
      <vt:lpstr>Servicios_Vigilancia_Guardias</vt:lpstr>
      <vt:lpstr>SubCategorías</vt:lpstr>
      <vt:lpstr>SubContrato_Servicios_de_Aseo</vt:lpstr>
      <vt:lpstr>Suministro_de_Mat_Cercos_y_Mallas</vt:lpstr>
      <vt:lpstr>Suministro_Defensas_Camineras</vt:lpstr>
      <vt:lpstr>Suministro_Trabajadores_Vestuario_Personal</vt:lpstr>
      <vt:lpstr>Telefonía</vt:lpstr>
      <vt:lpstr>Unidades_de_Comercialización_a_Cliente</vt:lpstr>
      <vt:lpstr>Útiles_de_Oficina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ÁNGELA MARÍA RUIZ PABÓN</dc:creator>
  <cp:keywords/>
  <dc:description/>
  <cp:lastModifiedBy>Duc Tran Anh</cp:lastModifiedBy>
  <cp:revision/>
  <dcterms:created xsi:type="dcterms:W3CDTF">2015-09-17T20:15:58Z</dcterms:created>
  <dcterms:modified xsi:type="dcterms:W3CDTF">2025-12-04T07:35:02Z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0x0101002E7020AFCAFAB846941BD0EA9B8181AE</vt:lpwstr>
  </property>
  <property fmtid="{D5CDD505-2E9C-101B-9397-08002B2CF9AE}" pid="3" name="MediaServiceImageTags">
    <vt:lpwstr/>
  </property>
</Properties>
</file>